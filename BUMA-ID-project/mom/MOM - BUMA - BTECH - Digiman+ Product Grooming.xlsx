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ukittech-my.sharepoint.com/personal/okky_rrohayat_bukittechnology_com/Documents/Notebooks/office-notes/BUMA-ID-project/mom/"/>
    </mc:Choice>
  </mc:AlternateContent>
  <xr:revisionPtr revIDLastSave="27" documentId="11_6B586B98E5D70189ECD1F1651EF943745F0AB558" xr6:coauthVersionLast="47" xr6:coauthVersionMax="47" xr10:uidLastSave="{BFFAA71E-3CF2-4A2A-8D88-25BAB5607066}"/>
  <bookViews>
    <workbookView xWindow="-120" yWindow="-120" windowWidth="29040" windowHeight="15720" activeTab="7" xr2:uid="{00000000-000D-0000-FFFF-FFFF00000000}"/>
  </bookViews>
  <sheets>
    <sheet name="Category" sheetId="1" r:id="rId1"/>
    <sheet name="12-1-26" sheetId="2" r:id="rId2"/>
    <sheet name="26-01-26" sheetId="3" r:id="rId3"/>
    <sheet name="09-02-26" sheetId="4" r:id="rId4"/>
    <sheet name="09-03-2026" sheetId="5" r:id="rId5"/>
    <sheet name="13-04-2026" sheetId="6" r:id="rId6"/>
    <sheet name="Release 4.0.0" sheetId="8" r:id="rId7"/>
    <sheet name="11-06-2026" sheetId="7" r:id="rId8"/>
    <sheet name="Timeline" sheetId="9" r:id="rId9"/>
  </sheets>
  <definedNames>
    <definedName name="_xlnm._FilterDatabase" localSheetId="3" hidden="1">'09-02-26'!$A$9:$K$37</definedName>
    <definedName name="_xlnm._FilterDatabase" localSheetId="4" hidden="1">'09-03-2026'!$A$9:$K$37</definedName>
    <definedName name="_xlnm._FilterDatabase" localSheetId="1" hidden="1">'12-1-26'!$A$9:$K$18</definedName>
    <definedName name="_xlnm._FilterDatabase" localSheetId="5" hidden="1">'13-04-2026'!$A$9:$K$45</definedName>
    <definedName name="_xlnm._FilterDatabase" localSheetId="8" hidden="1">Timeline!$A$1:$BE$126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6" l="1"/>
  <c r="E4" i="6" a="1"/>
  <c r="E4" i="6" s="1"/>
  <c r="A10" i="5"/>
  <c r="E4" i="5" a="1"/>
  <c r="E4" i="5" s="1"/>
  <c r="A10" i="4"/>
  <c r="E4" i="4" a="1"/>
  <c r="E4" i="4" s="1"/>
  <c r="A10" i="3"/>
  <c r="E4" i="3" a="1"/>
  <c r="E4" i="3" s="1"/>
  <c r="A10" i="2"/>
  <c r="E4" i="2" a="1"/>
  <c r="E4" i="2" s="1"/>
  <c r="A10" i="7"/>
  <c r="A11" i="7" s="1"/>
  <c r="E4" i="7" a="1"/>
  <c r="E4" i="7" s="1"/>
  <c r="A11" i="2" l="1"/>
  <c r="A12" i="2" s="1"/>
  <c r="A12" i="7"/>
  <c r="A11" i="3"/>
  <c r="A11" i="5"/>
  <c r="A11" i="4"/>
  <c r="A11" i="6"/>
  <c r="A12" i="4" l="1"/>
  <c r="A12" i="5"/>
  <c r="A13" i="5" s="1"/>
  <c r="A12" i="3"/>
  <c r="A13" i="2"/>
  <c r="A12" i="6"/>
  <c r="A13" i="7"/>
  <c r="A14" i="7" s="1"/>
  <c r="A15" i="7" s="1"/>
  <c r="A13" i="3" l="1"/>
  <c r="A14" i="2"/>
  <c r="A16" i="7"/>
  <c r="A17" i="7" s="1"/>
  <c r="A14" i="5"/>
  <c r="A13" i="6"/>
  <c r="A13" i="4"/>
  <c r="A14" i="4" l="1"/>
  <c r="A18" i="7"/>
  <c r="A14" i="3"/>
  <c r="A15" i="2"/>
  <c r="A14" i="6"/>
  <c r="A15" i="6" s="1"/>
  <c r="A16" i="6" s="1"/>
  <c r="A15" i="5"/>
  <c r="A16" i="5" s="1"/>
  <c r="A17" i="5" l="1"/>
  <c r="A17" i="6"/>
  <c r="A18" i="6" s="1"/>
  <c r="A19" i="6" s="1"/>
  <c r="A15" i="4"/>
  <c r="A16" i="4" s="1"/>
  <c r="A16" i="2"/>
  <c r="A15" i="3"/>
  <c r="A19" i="7"/>
  <c r="A20" i="7" l="1"/>
  <c r="A21" i="7" s="1"/>
  <c r="A22" i="7" s="1"/>
  <c r="A23" i="7" s="1"/>
  <c r="A17" i="2"/>
  <c r="A18" i="2" s="1"/>
  <c r="A19" i="2" s="1"/>
  <c r="A20" i="6"/>
  <c r="A16" i="3"/>
  <c r="A18" i="5"/>
  <c r="A19" i="5" s="1"/>
  <c r="A17" i="4"/>
  <c r="A20" i="5" l="1"/>
  <c r="A21" i="5" s="1"/>
  <c r="A22" i="5" s="1"/>
  <c r="A23" i="5" s="1"/>
  <c r="A24" i="5" s="1"/>
  <c r="A20" i="2"/>
  <c r="A21" i="2" s="1"/>
  <c r="A22" i="2" s="1"/>
  <c r="A24" i="2" s="1"/>
  <c r="A21" i="6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18" i="4"/>
  <c r="A17" i="3"/>
  <c r="A25" i="5" l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18" i="3"/>
  <c r="A19" i="3" s="1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20" i="3" l="1"/>
  <c r="A21" i="3" s="1"/>
  <c r="A22" i="3" s="1"/>
  <c r="A24" i="3" s="1"/>
  <c r="A26" i="3" s="1"/>
  <c r="A28" i="3" s="1"/>
</calcChain>
</file>

<file path=xl/sharedStrings.xml><?xml version="1.0" encoding="utf-8"?>
<sst xmlns="http://schemas.openxmlformats.org/spreadsheetml/2006/main" count="2052" uniqueCount="405">
  <si>
    <t>Minutes of Meeting</t>
  </si>
  <si>
    <t>Topic :</t>
  </si>
  <si>
    <t>Backlog Grooming Service Sheet</t>
  </si>
  <si>
    <t xml:space="preserve">Project Name : </t>
  </si>
  <si>
    <t>Digiman+ Product Roadmap 2026</t>
  </si>
  <si>
    <t>Date :</t>
  </si>
  <si>
    <t>From :</t>
  </si>
  <si>
    <t>To :</t>
  </si>
  <si>
    <t>Venue :</t>
  </si>
  <si>
    <t>Sabang Room, BTECH Office, Tower A, South Quarter Level 2</t>
  </si>
  <si>
    <t>Attendees :</t>
  </si>
  <si>
    <t xml:space="preserve">Meeting Summary </t>
  </si>
  <si>
    <t>No.</t>
  </si>
  <si>
    <t>Type</t>
  </si>
  <si>
    <t>Subject Category</t>
  </si>
  <si>
    <t>Subject</t>
  </si>
  <si>
    <t>Description</t>
  </si>
  <si>
    <t>Raised by</t>
  </si>
  <si>
    <t>Raised Date</t>
  </si>
  <si>
    <t>PIC</t>
  </si>
  <si>
    <t>Due Date</t>
  </si>
  <si>
    <t>Status</t>
  </si>
  <si>
    <t>Remarks</t>
  </si>
  <si>
    <t>Decision</t>
  </si>
  <si>
    <t>Form &amp; UI</t>
  </si>
  <si>
    <t>Form Tab Consolidation</t>
  </si>
  <si>
    <t>Beberapa form akan digabungkan menjadi satu dalam bentuk tab.</t>
  </si>
  <si>
    <t>BTECH</t>
  </si>
  <si>
    <t>-</t>
  </si>
  <si>
    <t>Open</t>
  </si>
  <si>
    <t>3.1.0 on 19 Mar 2026</t>
  </si>
  <si>
    <t>Progress Indicator (DONE)</t>
  </si>
  <si>
    <t>Diharapkan terdapat indikator progress DONE all task pada setiap tab.</t>
  </si>
  <si>
    <t>Hanya update data configuration
Released in 3.0.7</t>
  </si>
  <si>
    <t>Color Scheme Selection</t>
  </si>
  <si>
    <t>Perlu diperhatikan pemilihan warna — sebisa mungkin hindari warna-warna soft/pastel, karena kondisi pencahayaan di lapangan sangat terang/silau.</t>
  </si>
  <si>
    <t>Mechanic Flow &amp; User Management</t>
  </si>
  <si>
    <t>Mechanic Self-Service Form Input</t>
  </si>
  <si>
    <t>Mechanic akan mengisi form secara mandiri (kemungkinan hanya ditampilkan list mechanic, lalu mechanic dapat bertindak sebagai dirinya sendiri).</t>
  </si>
  <si>
    <t>Action</t>
  </si>
  <si>
    <t>General Account Setup</t>
  </si>
  <si>
    <t>Perlu disiapkan account general, termasuk konfigurasinya.</t>
  </si>
  <si>
    <t xml:space="preserve">1. Cek di Dashboard apakah achievement Inspection and order terhitung.
2. Ada notification (email) ke user, beserta informasi data-data, foto, dll. (TIR: Technical Information Report). --&gt; Planner,Planner CBM (melengkapi data),  Planner PCR (orang yang membuat order).
3. Muncul pop notification ketika user milih MT03, MT04 bahwa MO tipe ini tidak akan terbentuk MO di SAP.  --&gt; Figma
4. Check email dari mas Wahyu
5. Tidak dapat diakomodir di sisi product karena tidak sesuai product journey, Digiman+ seharusnya bisa membuat MO apapun ke SAP, yang membatasi bisa tidaknya adalah sistem dari client sendiri
</t>
  </si>
  <si>
    <t>Mechanic Activity Detail Logging</t>
  </si>
  <si>
    <t>Aktivitas mechanic perlu dicatat secara detail, ada start and end.</t>
  </si>
  <si>
    <t>PSCS Approval &amp; EMOL</t>
  </si>
  <si>
    <t>PSCS Approval Flow</t>
  </si>
  <si>
    <t>1. Ada pilihan di homepage untuk memilih section --&gt; assess terkait performance, ada warning ketika data local belum up to date
2. Authorization khusus
3. Assess impact terhadap cara penentuan section dari user yang sedang menggunakan apps</t>
  </si>
  <si>
    <t>PSCS Approval Dependency on EMOL</t>
  </si>
  <si>
    <t>Approval PSCS baru dapat dilakukan setelah EMOL dibuat (created).</t>
  </si>
  <si>
    <t>EMOL Creation Authorization</t>
  </si>
  <si>
    <t>Pembuatan EMOL dapat dilakukan oleh Inspector atau assigned user.</t>
  </si>
  <si>
    <t>3.0.6</t>
  </si>
  <si>
    <t>Reference &amp; Scope</t>
  </si>
  <si>
    <t>Development Focus: Hauler &amp; Loader</t>
  </si>
  <si>
    <t>Fokus pengembangan form saat ini pada unit Hauler dan Loader.</t>
  </si>
  <si>
    <t>Action Items</t>
  </si>
  <si>
    <t>Create Flow Process</t>
  </si>
  <si>
    <t>BTECH membuat Flow Process sesuai hasil diskusi pada meeting ini.</t>
  </si>
  <si>
    <t>Share Bank Task Template</t>
  </si>
  <si>
    <t>BTECH membagikan template untuk bank task dan panduan tipe task.</t>
  </si>
  <si>
    <t>1. Washing form perlu ada approval (2 level: Supervisor -&gt; Superintendent)
2. Saat proses approval, user bisa edit data</t>
  </si>
  <si>
    <t>Create Progress Timeline</t>
  </si>
  <si>
    <t>BPO request dibuatkan progress timeline, dengan fokus PSCS sampai integrasi dengan EHMS, serta opsi tambahan untuk inspection form.</t>
  </si>
  <si>
    <t>Information</t>
  </si>
  <si>
    <t>Commercial</t>
  </si>
  <si>
    <t>Governance</t>
  </si>
  <si>
    <t>In Progress</t>
  </si>
  <si>
    <t>Timeline</t>
  </si>
  <si>
    <t>Closed</t>
  </si>
  <si>
    <t>Cadence</t>
  </si>
  <si>
    <t>On Hold</t>
  </si>
  <si>
    <t>Configuration</t>
  </si>
  <si>
    <t>Done</t>
  </si>
  <si>
    <t>Implementation</t>
  </si>
  <si>
    <t>Support</t>
  </si>
  <si>
    <t>Enhancement</t>
  </si>
  <si>
    <t>Bugs</t>
  </si>
  <si>
    <t>Updating the Data</t>
  </si>
  <si>
    <t>Product Grooming: Feedback ADT &amp; Weekly Plan</t>
  </si>
  <si>
    <t>BTECH:
Okky Rizki Rohayat
M. Fata</t>
  </si>
  <si>
    <t>BUMA:
Wahyu Kusdyantono
Sunardi</t>
  </si>
  <si>
    <t>Cancel Assignment of Inspection</t>
  </si>
  <si>
    <t>Backlog improvement: 
Inspection - Ditambahkan fitur cancel assignment.</t>
  </si>
  <si>
    <t>M. Fikhri A</t>
  </si>
  <si>
    <t>1. Saat ini masih dalam proses testing di UAT enviroment
2. Nanti akan diassign ke supervisor dan superintendent</t>
  </si>
  <si>
    <t>Add Action Remedy to Inspection</t>
  </si>
  <si>
    <t>Backlog improvement: 
Inspection - Menambahkan mapping action remedy pada bagian Component Detail  untul all model equipment.
1. Top Up
2. Cleaning
3. Completed
4. Washing</t>
  </si>
  <si>
    <t>1. Suprapto
2. M Fikhri A</t>
  </si>
  <si>
    <t>Hanya update data configuration</t>
  </si>
  <si>
    <t>Add Component and Sub Component</t>
  </si>
  <si>
    <t>Backlog improvement: 
Inspection - Menambahkan mapping  "Frame &amp; Chassis" pada bagian Component &amp; Sub Component untuk model 6020B.</t>
  </si>
  <si>
    <t>Suprapto</t>
  </si>
  <si>
    <t>Improvement on History (mobile)</t>
  </si>
  <si>
    <t>Backlog improvement: 
Menampilkan referensi nomer Maintenance Order (MO) atas setiap orderan dari nomer e-MOL yang terbentuk di Digiman+.</t>
  </si>
  <si>
    <t>Dea Marta W</t>
  </si>
  <si>
    <t xml:space="preserve">
1. Show Equipment Number
2. Show SAP MO Number that has been generated
3. View Details (P1: Inspection, Order, ada linkage)
4. Export to PDF (P1: inspection &amp; order)
</t>
  </si>
  <si>
    <t>Auto create SAP MO MT03 &amp; MT04</t>
  </si>
  <si>
    <t xml:space="preserve">Issue: Finding dan Order yang dibuat oleh user di Digiman+ yang masuk dalam kategori Maintenance Cost Type Undercarriage (MT03) dan Component (MT04), tidak muncul di SAP.
Solusi: Digiman+ saat ini belum mengakomodir 2 type Maintenance Cost di atas, dikarenakan ada perlakuan khusus melihat umur component, historical order sebelumnya, penyediaan dokument support TIR dsb. </t>
  </si>
  <si>
    <t xml:space="preserve">1. Cek di Dashboard apakah achievement Inspection and order terhitung.
2. Ada notification (email) ke user, beserta informasi data-data, foto, dll. (TIR: Technical Information Report). --&gt; Planner,Planner CBM (melengkapi data),  Planner PCR (orang yang membuat order).
3. Muncul pop notification ketika user milih MT03, MT04 bahwa MO tipe ini tidak akan terbentuk MO di SAP.  --&gt; Figma
4. Check email dari mas Wahyu
</t>
  </si>
  <si>
    <t>SAP Integration</t>
  </si>
  <si>
    <t>Menambahkan informasi Model Unit, No. Unit, Hour Meter, Keterangan kerusakan, dan PIC Order dari output MO Digiman+ yang dikirim ke SAP pada Header Textnya.</t>
  </si>
  <si>
    <t>Miftakhul Falah</t>
  </si>
  <si>
    <t>Sesuai contoh di excel</t>
  </si>
  <si>
    <t>Multiple Section</t>
  </si>
  <si>
    <t>SAP Integration failed</t>
  </si>
  <si>
    <t>Sync SAP Failed partially</t>
  </si>
  <si>
    <t>MO Open empty</t>
  </si>
  <si>
    <t>MO Backlog Execution tidak muncul list MO Open</t>
  </si>
  <si>
    <t>Score washing 0</t>
  </si>
  <si>
    <t>Input Washing Form, result score 0</t>
  </si>
  <si>
    <t>Download Response Enhancement</t>
  </si>
  <si>
    <t>Score per area langsung score akhir (Download Form Response) dan juga score akhir</t>
  </si>
  <si>
    <t>Workflow approval for Washing form</t>
  </si>
  <si>
    <t>Approval Washing</t>
  </si>
  <si>
    <t>Sunardi</t>
  </si>
  <si>
    <t>Effort and Timeline</t>
  </si>
  <si>
    <t>Butuh detail effort and timeline sebelum menentukan mana yang lebih prioritas untuk dikerjakan</t>
  </si>
  <si>
    <t>Wahyu K</t>
  </si>
  <si>
    <t>Okky</t>
  </si>
  <si>
    <t>Service Sheet</t>
  </si>
  <si>
    <t>Service sheet akan fokus untuk CBM terlebih dahulu</t>
  </si>
  <si>
    <t>Wahyu K,
Sunardi</t>
  </si>
  <si>
    <t>BPO HO</t>
  </si>
  <si>
    <t>Inspection Scheduler</t>
  </si>
  <si>
    <t>Inspection Schedule should consider unit status</t>
  </si>
  <si>
    <t>1. Unit status INPR saja yang perlu ada auto schedule
2. Integrasi unit status ke Digiman+</t>
  </si>
  <si>
    <t>BUMA:
Sunardi</t>
  </si>
  <si>
    <t>Approval E-MOL</t>
  </si>
  <si>
    <t>Partial approval pada E-MOL, sebagian bisa dipending, sebagian bisa dilanjut</t>
  </si>
  <si>
    <t>Change EDD</t>
  </si>
  <si>
    <t>Change EDD harus berkorelasi dengan priority</t>
  </si>
  <si>
    <t>Filter by Area in PM Shutdown</t>
  </si>
  <si>
    <t>Mapping Equipment to Area akan dimaintain oleh orang site</t>
  </si>
  <si>
    <t>PM Shutdown Data</t>
  </si>
  <si>
    <t>Data PM Shutdown dari 2025-Jul ke belakang di-Finish kan dan diberi notes, export data dulu untuk konfirmasi ke BPO semua data yang outstanding</t>
  </si>
  <si>
    <t>Sunardi, Ekki</t>
  </si>
  <si>
    <t>Product Grooming: Feedback and Roadmap Prioritization</t>
  </si>
  <si>
    <t>BTECH:
Okky Rizki Rohayat
Soraya
Faisal</t>
  </si>
  <si>
    <t>BUMA:
Wahyu K.</t>
  </si>
  <si>
    <t>1. Saat ini masih dalam proses testing di UAT enviroment
2. Nanti akan diassign ke supervisor dan superintendent
3. Perlu enhance beberapa case belum dihandle dan akan release pada 3.1.0</t>
  </si>
  <si>
    <t>Sudah dikirim sama Pak Indro</t>
  </si>
  <si>
    <t>On Progress Development</t>
  </si>
  <si>
    <t>Saat ini tim sedang on progress development terkait feature gap Inspection Digiman+ terhadap Digiman lama, estimasi sementara release versi 3.1.0 adalah awal Maret 2026.</t>
  </si>
  <si>
    <t>Product Implementation</t>
  </si>
  <si>
    <t>Migrasi site IPR untuk fitur Inspection dari Digiman Lama ke Digiman+ dapat dilakukan setelah release 3.1.0</t>
  </si>
  <si>
    <t>Next Development</t>
  </si>
  <si>
    <t>Setelah release 3.1.0, development akan fokus ke Feedback user terkait feature gap yang ada di Execution dan Breakdown Monitoring</t>
  </si>
  <si>
    <t>Wahyu</t>
  </si>
  <si>
    <t>Weekly Plan</t>
  </si>
  <si>
    <t>Data relation antara weekly dan daily, bagaimana user membuat daily plan dari weekly plan, adhoc daily plan, carry over outstanding weekly plan to next weekly plan, visibility achievement per week</t>
  </si>
  <si>
    <t>Wahyu, Okky</t>
  </si>
  <si>
    <t>Perlu diasses lebih lanjut</t>
  </si>
  <si>
    <t>Execution</t>
  </si>
  <si>
    <t>Pengawas ingin melihat isi dari MO backlog, ada berapa part untuk mencocokkan dengan part yang sudah disediakan saat service --&gt; sudah ada di desain Figma sebelumnya</t>
  </si>
  <si>
    <t>Sudah ada di Figma, check</t>
  </si>
  <si>
    <t>Weekly plan akan di Digiman+ web atau masih di platform lama</t>
  </si>
  <si>
    <t>Okky, Wahyu</t>
  </si>
  <si>
    <t>Service sheet didahulukan dibanding weekly plan setelah tim menyelesaikan backlog terkait feature gap yang ada di Execution dan Breakdown Monitoring, weekly plan difinalkan dulu design di Figma-nya</t>
  </si>
  <si>
    <t>Feature Gap</t>
  </si>
  <si>
    <t>Tambahkan semua feature gap Digiman+ dengan Digiman Lama ke sheet Timeline meskipun tidak critical</t>
  </si>
  <si>
    <t>Inspection Finding</t>
  </si>
  <si>
    <t>User bisa input manhours / manpower saat membuat finding inspection</t>
  </si>
  <si>
    <t>Inspection &amp; Execution</t>
  </si>
  <si>
    <t>Backlog Execution</t>
  </si>
  <si>
    <t>Pada backlog execution hanya view materials saja tanpa select material yang diinstall</t>
  </si>
  <si>
    <t>Sunardi, Indro,  Okky, Soraya</t>
  </si>
  <si>
    <t>Ketika centang backlog execution, muncul pop up pilihan take photo atau tidak
a. Jika ya, open camera/select from gallery dan user take photo
b. Jika tidak, backlog executed</t>
  </si>
  <si>
    <t>Detail materials yang ditampilkan:
		a. Order Qty dimunculkan
		b. Urutan Order Qty --&gt; GI Qty, jika ada gap diberikan warning
c. Storage location tidak perlu</t>
  </si>
  <si>
    <t>Exercise flow execute backlog:
		a. Take evidence apakah menjadi bagian dari flow
		b. Take evidence setelah backlog executed</t>
  </si>
  <si>
    <t>Improvement pada sync MO backlog untuk mendapatkan status GI lebih cepat.</t>
  </si>
  <si>
    <t>Remark pada desain Figma Backlog Execution pindahin kedepan (level MO), pilihan sama dengan yang di Execution, namun beberapa pilihan di-hide yang tidak sesuai dengan inspection activity.</t>
  </si>
  <si>
    <t>Estimasi Release 2 akan dilakukan di Week 2 May 2026.</t>
  </si>
  <si>
    <t>Setelah Release 2, tim akan fokus melanjutkan journey product (Service Sheet &amp; Weekly Plan).</t>
  </si>
  <si>
    <t>BTECH:
Okky Rizki Rohayat
Soraya
Faisal
Indro Adi N.
Alimuddin Sodding
Rizky DP
Ekki MR
Farizi</t>
  </si>
  <si>
    <t>BUMA:
Wahyu K.
Sunardi
M. Riza Pahlevi</t>
  </si>
  <si>
    <t>As per the current design, select material will be default as all selected</t>
  </si>
  <si>
    <t>As per the current design, we should minimize animations so it won’t be too heavy.</t>
  </si>
  <si>
    <t>Digiman+ will be more general, where evidence of material installment will be not mandatory</t>
  </si>
  <si>
    <t>Digiman Dashboard</t>
  </si>
  <si>
    <t>Digiman Transaction</t>
  </si>
  <si>
    <t>Data man hours estimated untuk setiap finding dimunculin di raw data di dashboard</t>
  </si>
  <si>
    <t>Digiplan</t>
  </si>
  <si>
    <t>Auto create unscheduled plan</t>
  </si>
  <si>
    <t>Auto create planning unschedule tidak perlu menunggu 30 menit dari start breakdown notif</t>
  </si>
  <si>
    <t>No backlog grooming during release 4.0.0 preaparation</t>
  </si>
  <si>
    <t>EPIC</t>
  </si>
  <si>
    <t>Feature</t>
  </si>
  <si>
    <t>Product Backlog</t>
  </si>
  <si>
    <t>Category</t>
  </si>
  <si>
    <t>Priority</t>
  </si>
  <si>
    <t>Effort</t>
  </si>
  <si>
    <t>Est. Story Point</t>
  </si>
  <si>
    <t>Release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</si>
  <si>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</si>
  <si>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</si>
  <si>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</si>
  <si>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</si>
  <si>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</si>
  <si>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</si>
  <si>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</si>
  <si>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</si>
  <si>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</si>
  <si>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</si>
  <si>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</si>
  <si>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</si>
  <si>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W1</t>
  </si>
  <si>
    <t>W2</t>
  </si>
  <si>
    <t>W3</t>
  </si>
  <si>
    <t>W4</t>
  </si>
  <si>
    <t>Inspection</t>
  </si>
  <si>
    <t>Assign to</t>
  </si>
  <si>
    <t>Cancel Assignment</t>
  </si>
  <si>
    <t>Yes</t>
  </si>
  <si>
    <t>Feedback</t>
  </si>
  <si>
    <t>P1</t>
  </si>
  <si>
    <t>High</t>
  </si>
  <si>
    <t>Order to SAP Order</t>
  </si>
  <si>
    <t>Modify MO description to include Model Unit, No. Unit, Hour Meter, Damage, and PIC Order</t>
  </si>
  <si>
    <t>Medium</t>
  </si>
  <si>
    <t>History</t>
  </si>
  <si>
    <t>Transaction history list</t>
  </si>
  <si>
    <t>Add some informations (unit number, etc) on transaction history list</t>
  </si>
  <si>
    <t>View History Details</t>
  </si>
  <si>
    <t>User can view transaction history details</t>
  </si>
  <si>
    <t>Export to PDF</t>
  </si>
  <si>
    <t>User can export to PDF for each transaction history where submitted by themselves (specifically for Inspection)</t>
  </si>
  <si>
    <t>Form</t>
  </si>
  <si>
    <t>Download Response</t>
  </si>
  <si>
    <t>Specific for washing form: show the final score per area and all area.</t>
  </si>
  <si>
    <t>Order</t>
  </si>
  <si>
    <t>Pop Up warning for MT03 &amp; MT04</t>
  </si>
  <si>
    <t>Show warning message when user select MT03 or MT04</t>
  </si>
  <si>
    <t>P3</t>
  </si>
  <si>
    <t>Low</t>
  </si>
  <si>
    <t>Email Notification</t>
  </si>
  <si>
    <t>Send email notification for planner regarding order information of MT03 or MT04</t>
  </si>
  <si>
    <t>P2</t>
  </si>
  <si>
    <t>General Feature</t>
  </si>
  <si>
    <t>Multiple section</t>
  </si>
  <si>
    <t>Authorized user can change to other section via homepage</t>
  </si>
  <si>
    <t>Handling master data synchronization after user change section</t>
  </si>
  <si>
    <t>Apply multiple section on Inspection</t>
  </si>
  <si>
    <t>Apply multiple section on Order</t>
  </si>
  <si>
    <t>Apply multiple section on PM Shutdown</t>
  </si>
  <si>
    <t>Apply multiple section on Form</t>
  </si>
  <si>
    <t>Autocreate Inspection</t>
  </si>
  <si>
    <t>Additional Inspection now affects the next scheduled inspection creation, do we need to change?</t>
  </si>
  <si>
    <t>Offline Mode Improvement</t>
  </si>
  <si>
    <t>Sync inspection data by comparing dates to handle inspections that have become Closed by system</t>
  </si>
  <si>
    <t>Additional Inspection now affects the next manual uploaded inspection, do we need to change?</t>
  </si>
  <si>
    <t>Improvement on how to sync get data master and transaction</t>
  </si>
  <si>
    <t>Improve offline sync monitoring page to be more user friendly</t>
  </si>
  <si>
    <t>Form submission should record sync time data</t>
  </si>
  <si>
    <t>Findings</t>
  </si>
  <si>
    <t>Multi-user's finding visibility</t>
  </si>
  <si>
    <t>Supervisor Intervention</t>
  </si>
  <si>
    <t>Supervisors can intervent the outstanding inspection from their team</t>
  </si>
  <si>
    <t>Partial approval of E-MOL</t>
  </si>
  <si>
    <t>Edit EDD</t>
  </si>
  <si>
    <t>User can edit EDD when creating EMOL</t>
  </si>
  <si>
    <t>Homepage</t>
  </si>
  <si>
    <t>Homepage Revamp</t>
  </si>
  <si>
    <t>Menus</t>
  </si>
  <si>
    <t>Form menus revamp</t>
  </si>
  <si>
    <t>Inspection, PM Shutdown, Corrective Breakdown menus and page revamp</t>
  </si>
  <si>
    <t>Work</t>
  </si>
  <si>
    <t>Setelah edit search tidak langsung berubah datanya sesuai yg diinput pada field search, user harus klik button search terlebih dahulu</t>
  </si>
  <si>
    <t>Menambahkan field filter area (source data ambil dari BPS via API (main equipment), selain itu perlu dibuatkan mekanisme upload)</t>
  </si>
  <si>
    <t>"…" bagian shotcut terdapat menu add work in progress &amp; delay</t>
  </si>
  <si>
    <t>"…" bagian shortcut terdapat menu untuk input atau edit "Estimasi RFU"</t>
  </si>
  <si>
    <t>Task yang tidak di eksekusi harus mengisi remark terlebih dahulu sebelum melakukan finish execution, dan bisa multiple remark serta untuk yg status task dengan MOnya "Waiting Supply" bisa langsung otomatis</t>
  </si>
  <si>
    <t>Information Delay</t>
  </si>
  <si>
    <t>Copy paste laporan on progress dan delay</t>
  </si>
  <si>
    <t>Breakdown Monitoring</t>
  </si>
  <si>
    <t>Unscheduled</t>
  </si>
  <si>
    <t>Description "New Task 1" pada template "Unscheduled" breakdown langsung terisi sesuai deskripsi breakdown pada notifikasi</t>
  </si>
  <si>
    <t>Breakdown Execution</t>
  </si>
  <si>
    <t>Breakdown Task (Gantchart)</t>
  </si>
  <si>
    <t>Tambahkan fitur "Import from Excel" pada halaman breakdown execution saat statusnya "In Progress"</t>
  </si>
  <si>
    <t>Penambahan action "PIN" atau "FAVORITE" pada halaman monitoring breakdown "WORK" untuk mempermudah user dalam focus terhadap unit-unit yang sedang diperbaiki.</t>
  </si>
  <si>
    <t>Planning</t>
  </si>
  <si>
    <t>Start Execution</t>
  </si>
  <si>
    <t>Scheduled service seharusnya sudah termapping dengan notif-nya, sehingga tidak perlu lagi user manual start namun bisa langsung otomatis berdasarkan data breakdown yang diupdate oleh dispatcher</t>
  </si>
  <si>
    <t>Ketika user melakukan create planning baru maka data planning sebelumnya yang masih outstanding bisa langsung "auto cancel planning" --&gt; masuk ke roadmap weekly plan</t>
  </si>
  <si>
    <t>Plan duration terhadap breakdown unscheduled seharusnya 0 Hrs --&gt; related to Description "New Task 1"</t>
  </si>
  <si>
    <t>Site assigment</t>
  </si>
  <si>
    <t>Applikasi tidak dapat menghandel jika ada pekerja (pengawas) dari site lain</t>
  </si>
  <si>
    <t>Quantity breakdown saat masih in progress beda antara BPS dan Digiman+</t>
  </si>
  <si>
    <t>WICOPE Check</t>
  </si>
  <si>
    <t>Form WICOPE Check dibatasi per unit</t>
  </si>
  <si>
    <t>Breakdown Monitoring / Execution</t>
  </si>
  <si>
    <t>PIC shutdown bisa lebih dari satu karena pekerjaan bisa lanjut di shift berikutnya</t>
  </si>
  <si>
    <t>Pengawas ingin melihat isi dari MO backlog, ada berapa part untuk mencocokkan dengan part yang sudah disediakan saat service</t>
  </si>
  <si>
    <t>Pengawas ingin melihat history pekerjaan yang sudah dilakukan, part apa yang terpasang/ganti</t>
  </si>
  <si>
    <t>Breakdown Monitoring/Historical</t>
  </si>
  <si>
    <t>Ada informasi histori berapa kali estimasi RFU diubah</t>
  </si>
  <si>
    <t>Historical</t>
  </si>
  <si>
    <t>Filter equipment tidak auto search</t>
  </si>
  <si>
    <t>Improve Breakdown Monitoring to consider notification status, breakdown without notif, etc</t>
  </si>
  <si>
    <t>Outstanding administration transaction mechanism</t>
  </si>
  <si>
    <t>Hide button Summary Plan pada page Weekly Planning</t>
  </si>
  <si>
    <t>Roadmap</t>
  </si>
  <si>
    <t>Review PS/Shutdown Backlog - Informasi Submission Progress pada Data Weekly Planning</t>
  </si>
  <si>
    <t>Review PS/Shutdown Backlog - Add feature 'Execution Confirm' per MO (shortcut) in tab MO Backlog</t>
  </si>
  <si>
    <t>Monitoring Service - Rename Label “Select” to “Filter”</t>
  </si>
  <si>
    <t>Perubahan naming Sub-Menu Weekly Planning dan Daily Planning</t>
  </si>
  <si>
    <t>Review PS/Shutdown Backlog - Behavior value ETA supply, logic 'Execution Confirm' dan format date upload excel</t>
  </si>
  <si>
    <t>Review PS/Shutdown Backlog - Create Daily Planning</t>
  </si>
  <si>
    <t>Monitoring Service - Adjustment Create Weekly Planning</t>
  </si>
  <si>
    <t>Review PS/Shutdown Backlog - Alignment &amp; Styling Button</t>
  </si>
  <si>
    <t>Review PS/Shutdown Backlog - Enhancement perhitungan Duration pada pop-up edit MO</t>
  </si>
  <si>
    <t>Review PS/Shutdown Backlog - Behavior &amp; Default Logic Execution Confirm berdasarkan Kondisi Material dan ETA Supply pada MO</t>
  </si>
  <si>
    <t xml:space="preserve">Review PS/Shutdown Backlog - Add feature for Multiple 'Execution Confirm' in Tab MO Backlog </t>
  </si>
  <si>
    <t>Review PS/Shutdown Backlog - Penyesuai validasi &amp; tampilan upload excel pada tampilan Preview Upload</t>
  </si>
  <si>
    <t xml:space="preserve">Review PS/Shutdown Backlog - Penyesuaian naming file download &amp; upload </t>
  </si>
  <si>
    <t xml:space="preserve">Review PS/Shutdown Backlog - Download data yang mengandung data error pada feature Upload Data </t>
  </si>
  <si>
    <t>Review PS/Shutdown Backlog - Feature select for Approve data</t>
  </si>
  <si>
    <t xml:space="preserve">Review PS/Shutdown Backlog - Enhancement tampilan grouping material order per MO Child pada tab MO Backlog </t>
  </si>
  <si>
    <t xml:space="preserve">Review PS/Shutdown Backlog - Penyesuaian tampilan pop-up action edit pada tab MO Backlog </t>
  </si>
  <si>
    <t>Enhancement behavior status weekly planning dan label status</t>
  </si>
  <si>
    <t>Form Integration Configuration</t>
  </si>
  <si>
    <t>Create a configuration to integrate form to other features</t>
  </si>
  <si>
    <t>CBM Configuration</t>
  </si>
  <si>
    <t>CBM threshold configuration list</t>
  </si>
  <si>
    <t>Add/Edit CBM threshold configuration</t>
  </si>
  <si>
    <t>Upload CBM Threshold configuration</t>
  </si>
  <si>
    <t>Export CBM Threshold to Excel</t>
  </si>
  <si>
    <t>Service Sheet for CBM task</t>
  </si>
  <si>
    <t>Integrate Service Sheet to PM Shutdown</t>
  </si>
  <si>
    <t>Integrate Service Sheet to external system (provide API)</t>
  </si>
  <si>
    <t>Form Workflow</t>
  </si>
  <si>
    <t>Integrate to Approval Workflow (especially Washing Form)</t>
  </si>
  <si>
    <t>Inspection Form</t>
  </si>
  <si>
    <t>Integrate Form to Inspection</t>
  </si>
  <si>
    <t>Integrate Inspection Form to external system (provide API)</t>
  </si>
  <si>
    <t>Export form to PDF</t>
  </si>
  <si>
    <t>Service Sheet Renderer</t>
  </si>
  <si>
    <t>Make form renderer on mobile to render complex form</t>
  </si>
  <si>
    <t>Projection PA</t>
  </si>
  <si>
    <t>Projection RM Cost</t>
  </si>
  <si>
    <t>Notification</t>
  </si>
  <si>
    <t>In-App Notification Engine</t>
  </si>
  <si>
    <t>Email Notification Engine</t>
  </si>
  <si>
    <t>Implement Notification to Inspection</t>
  </si>
  <si>
    <t>Implement Notification to Execution</t>
  </si>
  <si>
    <t>Implement Notification to Order</t>
  </si>
  <si>
    <t>Implement Notificatin to Form</t>
  </si>
  <si>
    <t>My Work</t>
  </si>
  <si>
    <t>My Assignment</t>
  </si>
  <si>
    <t>Integrate to Inspection</t>
  </si>
  <si>
    <t>Integrate to Order</t>
  </si>
  <si>
    <t>Integrate to Execution (PM Shutdown)</t>
  </si>
  <si>
    <t>Integrate to Form</t>
  </si>
  <si>
    <t>Additional Assignment</t>
  </si>
  <si>
    <t>Input Activities (Non Technical Task)</t>
  </si>
  <si>
    <t>View My Activities (Time Table)</t>
  </si>
  <si>
    <t>View My Team Activities (Time Table)</t>
  </si>
  <si>
    <t>Add Activities</t>
  </si>
  <si>
    <t>Edit Activities</t>
  </si>
  <si>
    <t>View my activity history</t>
  </si>
  <si>
    <t>My Approval Task</t>
  </si>
  <si>
    <t>Integrate Workflow Task to My Work for SPV above</t>
  </si>
  <si>
    <t>E-MAR</t>
  </si>
  <si>
    <t>E-MAR Data Source</t>
  </si>
  <si>
    <t>Populate E-MAR Data Source from PM Shutdown</t>
  </si>
  <si>
    <t>Populate E-MAR Data Source from Inspection</t>
  </si>
  <si>
    <t>Populate E-MAR Data Source from Order</t>
  </si>
  <si>
    <t>Populate E-MAR Data Source from Form</t>
  </si>
  <si>
    <t>Populate E-MAR Data Source from Activities (Non technical)</t>
  </si>
  <si>
    <t>E-MAR Submission</t>
  </si>
  <si>
    <t>View my today's E-MAR</t>
  </si>
  <si>
    <t>Submit my today's E-MAR</t>
  </si>
  <si>
    <t>Integrate E-MAR to Workflow</t>
  </si>
  <si>
    <t>Integrate to SAP</t>
  </si>
  <si>
    <t>Integrate to People Card</t>
  </si>
  <si>
    <t>E-MAR Dashboard</t>
  </si>
  <si>
    <t>Data ingestion</t>
  </si>
  <si>
    <t>Create Dashboard (Web version)</t>
  </si>
  <si>
    <t>Create simple dashboard for mobile</t>
  </si>
  <si>
    <t>E-MAR History</t>
  </si>
  <si>
    <t>View my E-MAR History</t>
  </si>
  <si>
    <t>Web Order</t>
  </si>
  <si>
    <t>Web order - Part book catalogue</t>
  </si>
  <si>
    <t>Web order - Bulk material upload</t>
  </si>
  <si>
    <t>Monitoring order</t>
  </si>
  <si>
    <t>Mobile Dashboard</t>
  </si>
  <si>
    <t>Simple Dashboard</t>
  </si>
  <si>
    <t>Dashboard R&amp;M Cost &amp; pareto issue</t>
  </si>
  <si>
    <t>Mobile Order</t>
  </si>
  <si>
    <t>Mobile - Part book catalogue</t>
  </si>
  <si>
    <t>Mobile - Bulk material upload</t>
  </si>
  <si>
    <t>User bisa input manhours atau required man power saat membuat finding inspection</t>
  </si>
  <si>
    <t>Execution - Mobile</t>
  </si>
  <si>
    <t>BUMA</t>
  </si>
  <si>
    <t>PSCS memiliki alur approval: Submit oleh Mechanic, kemudian approve oleh Supervisor, Planner, dan Superintendent.</t>
  </si>
  <si>
    <t>Bromo Room, BTECH Office, Tower A, South Quarter Level 2</t>
  </si>
  <si>
    <r>
      <rPr>
        <b/>
        <sz val="12"/>
        <color theme="1"/>
        <rFont val="Aptos"/>
        <family val="2"/>
      </rPr>
      <t>BTECH</t>
    </r>
    <r>
      <rPr>
        <sz val="12"/>
        <color theme="1"/>
        <rFont val="Aptos"/>
        <family val="2"/>
      </rPr>
      <t>:
Alimudin Sodding
Okky RR
Faisal P
Indro AN
Robert
Laila</t>
    </r>
  </si>
  <si>
    <r>
      <t>BTECH</t>
    </r>
    <r>
      <rPr>
        <sz val="12"/>
        <color theme="1"/>
        <rFont val="Aptos"/>
        <family val="2"/>
      </rPr>
      <t>:
Alimudin Sodding
Okky RR
Faisal P
Indro AN
Robert
Laila</t>
    </r>
  </si>
  <si>
    <r>
      <rPr>
        <b/>
        <sz val="12"/>
        <color theme="1"/>
        <rFont val="Aptos"/>
        <family val="2"/>
      </rPr>
      <t>BUMA</t>
    </r>
    <r>
      <rPr>
        <sz val="12"/>
        <color theme="1"/>
        <rFont val="Aptos"/>
        <family val="2"/>
      </rPr>
      <t>:
Sunardi
Anas</t>
    </r>
  </si>
  <si>
    <r>
      <t>BUMA</t>
    </r>
    <r>
      <rPr>
        <sz val="12"/>
        <color theme="1"/>
        <rFont val="Aptos"/>
        <family val="2"/>
      </rPr>
      <t>:
Sunardi
Anas</t>
    </r>
  </si>
  <si>
    <t>Product Development</t>
  </si>
  <si>
    <t>Priority of Product Journey</t>
  </si>
  <si>
    <t>BUMA, BTECH</t>
  </si>
  <si>
    <t>Yang menjadi prioritas development adalah service sheet (PSCS), baru kemudian form approval, dan Equipment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</si>
</sst>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dd\,\ dd\ mmmm\ yyyy;@"/>
    <numFmt numFmtId="165" formatCode="[$-13809]d\ mmm\ yyyy;@"/>
    <numFmt numFmtId="166" formatCode="[$-13809]h:mm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164" fontId="2" fillId="0" borderId="0" xfId="0" applyNumberFormat="1" applyFont="1" applyAlignment="1">
      <alignment vertical="center" wrapText="1"/>
    </xf>
    <xf numFmtId="2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165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quotePrefix="1" applyFont="1" applyBorder="1" applyAlignment="1">
      <alignment vertical="top" wrapText="1"/>
    </xf>
    <xf numFmtId="166" fontId="2" fillId="0" borderId="0" xfId="0" applyNumberFormat="1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6" fillId="0" borderId="0" xfId="0" applyFont="1"/>
    <xf numFmtId="0" fontId="2" fillId="0" borderId="1" xfId="0" applyFont="1" applyBorder="1" applyAlignment="1">
      <alignment horizontal="right" vertical="top" wrapText="1"/>
    </xf>
    <xf numFmtId="165" fontId="2" fillId="0" borderId="1" xfId="0" quotePrefix="1" applyNumberFormat="1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/>
    </xf>
    <xf numFmtId="0" fontId="8" fillId="3" borderId="0" xfId="0" applyFont="1" applyFill="1"/>
    <xf numFmtId="0" fontId="9" fillId="0" borderId="0" xfId="0" applyFont="1"/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5" borderId="0" xfId="0" applyFont="1" applyFill="1"/>
    <xf numFmtId="15" fontId="2" fillId="0" borderId="1" xfId="0" applyNumberFormat="1" applyFont="1" applyBorder="1" applyAlignment="1">
      <alignment horizontal="center" vertical="top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5" fontId="2" fillId="0" borderId="1" xfId="0" applyNumberFormat="1" applyFont="1" applyBorder="1" applyAlignment="1">
      <alignment vertical="top"/>
    </xf>
    <xf numFmtId="0" fontId="8" fillId="3" borderId="0" xfId="0" applyFont="1" applyFill="1" applyAlignment="1">
      <alignment horizontal="center" vertical="center"/>
    </xf>
    <xf numFmtId="0" fontId="0" fillId="0" borderId="1" xfId="0" applyBorder="1"/>
    <xf numFmtId="0" fontId="2" fillId="0" borderId="4" xfId="0" applyFont="1" applyBorder="1" applyAlignment="1">
      <alignment vertical="top" wrapText="1"/>
    </xf>
    <xf numFmtId="15" fontId="0" fillId="0" borderId="1" xfId="0" applyNumberFormat="1" applyBorder="1"/>
    <xf numFmtId="0" fontId="2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/>
    </xf>
    <xf numFmtId="15" fontId="0" fillId="0" borderId="0" xfId="0" applyNumberFormat="1"/>
    <xf numFmtId="0" fontId="7" fillId="0" borderId="1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vertical="top" wrapText="1"/>
    </xf>
    <xf numFmtId="0" fontId="10" fillId="0" borderId="0" xfId="0" applyFont="1"/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21" fontId="0" fillId="0" borderId="0" xfId="0" applyNumberFormat="1"/>
    <xf numFmtId="20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/>
    <xf numFmtId="0" fontId="3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0">
    <dxf>
      <font>
        <color theme="0"/>
      </font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12"/>
  <sheetViews>
    <sheetView zoomScale="76"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8.140625" bestFit="1" customWidth="1"/>
    <col min="3" max="3" width="12.28515625" customWidth="1"/>
  </cols>
  <sheetData>
    <row r="1" spans="1:3" x14ac:dyDescent="0.25">
      <c r="A1" s="2" t="s">
        <v>13</v>
      </c>
      <c r="B1" s="2" t="s">
        <v>14</v>
      </c>
      <c r="C1" s="2" t="s">
        <v>21</v>
      </c>
    </row>
    <row r="2" spans="1:3" x14ac:dyDescent="0.25">
      <c r="A2" t="s">
        <v>64</v>
      </c>
      <c r="B2" t="s">
        <v>65</v>
      </c>
      <c r="C2" t="s">
        <v>29</v>
      </c>
    </row>
    <row r="3" spans="1:3" x14ac:dyDescent="0.25">
      <c r="A3" t="s">
        <v>23</v>
      </c>
      <c r="B3" t="s">
        <v>66</v>
      </c>
      <c r="C3" t="s">
        <v>67</v>
      </c>
    </row>
    <row r="4" spans="1:3" x14ac:dyDescent="0.25">
      <c r="A4" t="s">
        <v>39</v>
      </c>
      <c r="B4" t="s">
        <v>68</v>
      </c>
      <c r="C4" t="s">
        <v>69</v>
      </c>
    </row>
    <row r="5" spans="1:3" x14ac:dyDescent="0.25">
      <c r="B5" t="s">
        <v>70</v>
      </c>
      <c r="C5" t="s">
        <v>71</v>
      </c>
    </row>
    <row r="6" spans="1:3" x14ac:dyDescent="0.25">
      <c r="B6" t="s">
        <v>72</v>
      </c>
      <c r="C6" t="s">
        <v>73</v>
      </c>
    </row>
    <row r="7" spans="1:3" x14ac:dyDescent="0.25">
      <c r="B7" t="s">
        <v>74</v>
      </c>
    </row>
    <row r="8" spans="1:3" x14ac:dyDescent="0.25">
      <c r="B8" t="s">
        <v>75</v>
      </c>
    </row>
    <row r="9" spans="1:3" x14ac:dyDescent="0.25">
      <c r="B9" t="s">
        <v>76</v>
      </c>
    </row>
    <row r="10" spans="1:3" x14ac:dyDescent="0.25">
      <c r="B10" t="s">
        <v>77</v>
      </c>
    </row>
    <row r="11" spans="1:3" x14ac:dyDescent="0.25">
      <c r="B11" t="s">
        <v>64</v>
      </c>
    </row>
    <row r="12" spans="1:3" x14ac:dyDescent="0.25">
      <c r="B1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showGridLines="0" topLeftCell="A13" zoomScale="76" zoomScaleNormal="62" workbookViewId="0">
      <selection activeCell="E4" sqref="E4"/>
    </sheetView>
  </sheetViews>
  <sheetFormatPr defaultRowHeight="15.75" x14ac:dyDescent="0.25"/>
  <cols>
    <col min="1" max="1" width="6.5703125" style="17" customWidth="1"/>
    <col min="2" max="2" width="13.5703125" style="17" customWidth="1"/>
    <col min="3" max="3" width="15.42578125" style="17" customWidth="1"/>
    <col min="4" max="4" width="34.5703125" style="17" customWidth="1"/>
    <col min="5" max="5" width="80.5703125" style="16" customWidth="1"/>
    <col min="6" max="6" width="15.28515625" style="17" bestFit="1" customWidth="1"/>
    <col min="7" max="7" width="15.85546875" style="17" bestFit="1" customWidth="1"/>
    <col min="8" max="8" width="9" style="16" bestFit="1" customWidth="1"/>
    <col min="9" max="9" width="13.140625" style="17" bestFit="1" customWidth="1"/>
    <col min="10" max="10" width="11.85546875" style="17" bestFit="1" customWidth="1"/>
    <col min="11" max="11" width="75.28515625" style="16" customWidth="1"/>
    <col min="12" max="12" width="9.140625" style="20" customWidth="1"/>
  </cols>
  <sheetData>
    <row r="1" spans="1:13" ht="21" customHeight="1" x14ac:dyDescent="0.25">
      <c r="A1" s="77" t="s">
        <v>0</v>
      </c>
      <c r="B1" s="82"/>
      <c r="C1" s="82"/>
      <c r="D1" s="82"/>
      <c r="E1" s="83"/>
      <c r="F1" s="82"/>
      <c r="G1" s="82"/>
      <c r="H1" s="83"/>
      <c r="I1" s="82"/>
      <c r="J1" s="82"/>
      <c r="K1" s="83"/>
    </row>
    <row r="2" spans="1:13" x14ac:dyDescent="0.25">
      <c r="A2" s="18"/>
      <c r="B2" s="18"/>
      <c r="C2" s="76" t="s">
        <v>1</v>
      </c>
      <c r="D2" s="82"/>
      <c r="E2" s="1" t="s">
        <v>79</v>
      </c>
      <c r="F2" s="1"/>
      <c r="G2" s="1"/>
      <c r="H2" s="1"/>
      <c r="I2" s="1"/>
      <c r="J2" s="1"/>
      <c r="K2" s="1"/>
    </row>
    <row r="3" spans="1:13" ht="22.5" customHeight="1" x14ac:dyDescent="0.25">
      <c r="A3" s="18"/>
      <c r="B3" s="18"/>
      <c r="C3" s="76" t="s">
        <v>3</v>
      </c>
      <c r="D3" s="82"/>
      <c r="E3" s="1" t="s">
        <v>4</v>
      </c>
      <c r="F3" s="1"/>
      <c r="G3" s="1"/>
      <c r="H3" s="1"/>
      <c r="I3" s="1"/>
      <c r="J3" s="1"/>
      <c r="K3" s="1"/>
    </row>
    <row r="4" spans="1:13" ht="24" customHeight="1" x14ac:dyDescent="0.25">
      <c r="A4" s="18"/>
      <c r="B4" s="18"/>
      <c r="C4" s="76" t="s">
        <v>5</v>
      </c>
      <c r="D4" s="82"/>
      <c r="E4" s="4">
        <f t="array" aca="1" ref="E4" ca="1">VALUE(MID(CELL("filename", A1), FIND("]", CELL("filename", A1)) + 1, 15))</f>
        <v>46034</v>
      </c>
      <c r="F4" s="3" t="s">
        <v>6</v>
      </c>
      <c r="G4" s="7">
        <v>0.5625</v>
      </c>
      <c r="H4" s="3" t="s">
        <v>7</v>
      </c>
      <c r="I4" s="7">
        <v>0.64583333333333337</v>
      </c>
      <c r="J4" s="15"/>
      <c r="K4" s="6"/>
    </row>
    <row r="5" spans="1:13" ht="24" customHeight="1" x14ac:dyDescent="0.25">
      <c r="A5" s="18"/>
      <c r="B5" s="18"/>
      <c r="C5" s="76" t="s">
        <v>8</v>
      </c>
      <c r="D5" s="82"/>
      <c r="E5" s="1" t="s">
        <v>9</v>
      </c>
      <c r="F5" s="1"/>
      <c r="G5" s="7"/>
      <c r="H5" s="1"/>
      <c r="I5" s="7"/>
      <c r="J5" s="1"/>
      <c r="K5" s="1"/>
    </row>
    <row r="6" spans="1:13" ht="151.5" customHeight="1" x14ac:dyDescent="0.25">
      <c r="A6" s="19"/>
      <c r="B6" s="19"/>
      <c r="C6" s="80" t="s">
        <v>10</v>
      </c>
      <c r="D6" s="79"/>
      <c r="E6" s="23" t="s">
        <v>80</v>
      </c>
      <c r="F6" s="78" t="s">
        <v>81</v>
      </c>
      <c r="G6" s="79"/>
      <c r="H6" s="79"/>
      <c r="I6" s="23"/>
      <c r="J6" s="81"/>
      <c r="K6" s="83"/>
      <c r="M6" s="5"/>
    </row>
    <row r="7" spans="1:13" x14ac:dyDescent="0.25">
      <c r="A7" s="73" t="s">
        <v>11</v>
      </c>
      <c r="B7" s="82"/>
      <c r="C7" s="82"/>
      <c r="D7" s="82"/>
      <c r="E7" s="83"/>
      <c r="H7" s="5"/>
      <c r="K7" s="5"/>
    </row>
    <row r="8" spans="1:13" x14ac:dyDescent="0.25">
      <c r="A8" s="1"/>
      <c r="B8" s="1"/>
      <c r="C8" s="1"/>
      <c r="D8" s="1"/>
      <c r="E8" s="1"/>
      <c r="H8" s="5"/>
      <c r="K8" s="5"/>
    </row>
    <row r="9" spans="1:13" ht="33" customHeight="1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0" t="s">
        <v>22</v>
      </c>
    </row>
    <row r="10" spans="1:13" ht="31.5" customHeight="1" x14ac:dyDescent="0.25">
      <c r="A10" s="21">
        <f t="shared" ref="A10:A22" ca="1" si="0">IF(B10="","",MAX(OFFSET($A$1,0,0,ROW()-1,1))+1)</f>
        <v>1</v>
      </c>
      <c r="B10" s="11" t="s">
        <v>64</v>
      </c>
      <c r="C10" s="9" t="s">
        <v>76</v>
      </c>
      <c r="D10" s="41" t="s">
        <v>82</v>
      </c>
      <c r="E10" s="24" t="s">
        <v>83</v>
      </c>
      <c r="F10" s="28" t="s">
        <v>84</v>
      </c>
      <c r="G10" s="29">
        <v>46027</v>
      </c>
      <c r="H10" s="28" t="s">
        <v>27</v>
      </c>
      <c r="I10" s="22" t="s">
        <v>28</v>
      </c>
      <c r="J10" s="11" t="s">
        <v>67</v>
      </c>
      <c r="K10" s="14" t="s">
        <v>85</v>
      </c>
    </row>
    <row r="11" spans="1:13" ht="110.25" customHeight="1" x14ac:dyDescent="0.25">
      <c r="A11" s="21">
        <f t="shared" ca="1" si="0"/>
        <v>2</v>
      </c>
      <c r="B11" s="11" t="s">
        <v>39</v>
      </c>
      <c r="C11" s="9" t="s">
        <v>72</v>
      </c>
      <c r="D11" s="9" t="s">
        <v>86</v>
      </c>
      <c r="E11" s="24" t="s">
        <v>87</v>
      </c>
      <c r="F11" s="30" t="s">
        <v>88</v>
      </c>
      <c r="G11" s="29">
        <v>46027</v>
      </c>
      <c r="H11" s="28" t="s">
        <v>27</v>
      </c>
      <c r="I11" s="22" t="s">
        <v>28</v>
      </c>
      <c r="J11" s="11" t="s">
        <v>67</v>
      </c>
      <c r="K11" s="14" t="s">
        <v>89</v>
      </c>
    </row>
    <row r="12" spans="1:13" ht="47.25" customHeight="1" x14ac:dyDescent="0.25">
      <c r="A12" s="21">
        <f t="shared" ca="1" si="0"/>
        <v>3</v>
      </c>
      <c r="B12" s="11" t="s">
        <v>39</v>
      </c>
      <c r="C12" s="9" t="s">
        <v>72</v>
      </c>
      <c r="D12" s="9" t="s">
        <v>90</v>
      </c>
      <c r="E12" s="24" t="s">
        <v>91</v>
      </c>
      <c r="F12" s="28" t="s">
        <v>92</v>
      </c>
      <c r="G12" s="29">
        <v>46027</v>
      </c>
      <c r="H12" s="28" t="s">
        <v>27</v>
      </c>
      <c r="I12" s="22" t="s">
        <v>28</v>
      </c>
      <c r="J12" s="11" t="s">
        <v>67</v>
      </c>
      <c r="K12" s="14" t="s">
        <v>89</v>
      </c>
    </row>
    <row r="13" spans="1:13" ht="94.5" customHeight="1" x14ac:dyDescent="0.25">
      <c r="A13" s="21">
        <f t="shared" ca="1" si="0"/>
        <v>4</v>
      </c>
      <c r="B13" s="11" t="s">
        <v>39</v>
      </c>
      <c r="C13" s="9" t="s">
        <v>76</v>
      </c>
      <c r="D13" s="41" t="s">
        <v>93</v>
      </c>
      <c r="E13" s="24" t="s">
        <v>94</v>
      </c>
      <c r="F13" s="28" t="s">
        <v>95</v>
      </c>
      <c r="G13" s="29">
        <v>46027</v>
      </c>
      <c r="H13" s="28" t="s">
        <v>27</v>
      </c>
      <c r="I13" s="22" t="s">
        <v>28</v>
      </c>
      <c r="J13" s="11" t="s">
        <v>29</v>
      </c>
      <c r="K13" s="24" t="s">
        <v>96</v>
      </c>
    </row>
    <row r="14" spans="1:13" ht="141.75" customHeight="1" x14ac:dyDescent="0.25">
      <c r="A14" s="21">
        <f t="shared" ca="1" si="0"/>
        <v>5</v>
      </c>
      <c r="B14" s="11" t="s">
        <v>39</v>
      </c>
      <c r="C14" s="9" t="s">
        <v>76</v>
      </c>
      <c r="D14" s="41" t="s">
        <v>97</v>
      </c>
      <c r="E14" s="24" t="s">
        <v>98</v>
      </c>
      <c r="F14" s="28" t="s">
        <v>92</v>
      </c>
      <c r="G14" s="29">
        <v>46027</v>
      </c>
      <c r="H14" s="28" t="s">
        <v>27</v>
      </c>
      <c r="I14" s="22" t="s">
        <v>28</v>
      </c>
      <c r="J14" s="11" t="s">
        <v>29</v>
      </c>
      <c r="K14" s="14" t="s">
        <v>99</v>
      </c>
    </row>
    <row r="15" spans="1:13" ht="31.5" customHeight="1" x14ac:dyDescent="0.25">
      <c r="A15" s="21">
        <f t="shared" ca="1" si="0"/>
        <v>6</v>
      </c>
      <c r="B15" s="11" t="s">
        <v>39</v>
      </c>
      <c r="C15" s="9" t="s">
        <v>76</v>
      </c>
      <c r="D15" s="41" t="s">
        <v>100</v>
      </c>
      <c r="E15" s="25" t="s">
        <v>101</v>
      </c>
      <c r="F15" s="28" t="s">
        <v>102</v>
      </c>
      <c r="G15" s="29">
        <v>46027</v>
      </c>
      <c r="H15" s="28" t="s">
        <v>27</v>
      </c>
      <c r="I15" s="22" t="s">
        <v>28</v>
      </c>
      <c r="J15" s="11" t="s">
        <v>29</v>
      </c>
      <c r="K15" s="14" t="s">
        <v>103</v>
      </c>
    </row>
    <row r="16" spans="1:13" s="33" customFormat="1" ht="78.75" customHeight="1" x14ac:dyDescent="0.25">
      <c r="A16" s="21">
        <f t="shared" ca="1" si="0"/>
        <v>7</v>
      </c>
      <c r="B16" s="11" t="s">
        <v>39</v>
      </c>
      <c r="C16" s="9" t="s">
        <v>76</v>
      </c>
      <c r="D16" s="41" t="s">
        <v>104</v>
      </c>
      <c r="E16" s="31" t="s">
        <v>104</v>
      </c>
      <c r="F16" s="11"/>
      <c r="G16" s="12"/>
      <c r="H16" s="28" t="s">
        <v>27</v>
      </c>
      <c r="I16" s="22"/>
      <c r="J16" s="11" t="s">
        <v>29</v>
      </c>
      <c r="K16" s="14" t="s">
        <v>47</v>
      </c>
      <c r="L16" s="32"/>
    </row>
    <row r="17" spans="1:12" x14ac:dyDescent="0.25">
      <c r="A17" s="21">
        <f t="shared" ca="1" si="0"/>
        <v>8</v>
      </c>
      <c r="B17" s="11" t="s">
        <v>39</v>
      </c>
      <c r="C17" s="9" t="s">
        <v>77</v>
      </c>
      <c r="D17" s="9" t="s">
        <v>105</v>
      </c>
      <c r="E17" s="26" t="s">
        <v>106</v>
      </c>
      <c r="F17" s="11"/>
      <c r="G17" s="12"/>
      <c r="H17" s="28" t="s">
        <v>27</v>
      </c>
      <c r="I17" s="22"/>
      <c r="J17" s="11" t="s">
        <v>73</v>
      </c>
      <c r="K17" s="9"/>
    </row>
    <row r="18" spans="1:12" s="20" customFormat="1" x14ac:dyDescent="0.25">
      <c r="A18" s="21">
        <f t="shared" ca="1" si="0"/>
        <v>9</v>
      </c>
      <c r="B18" s="11" t="s">
        <v>39</v>
      </c>
      <c r="C18" s="9" t="s">
        <v>77</v>
      </c>
      <c r="D18" s="9" t="s">
        <v>107</v>
      </c>
      <c r="E18" s="26" t="s">
        <v>108</v>
      </c>
      <c r="F18" s="11"/>
      <c r="G18" s="12"/>
      <c r="H18" s="28" t="s">
        <v>27</v>
      </c>
      <c r="I18" s="12"/>
      <c r="J18" s="11" t="s">
        <v>67</v>
      </c>
      <c r="K18" s="9"/>
    </row>
    <row r="19" spans="1:12" s="20" customFormat="1" x14ac:dyDescent="0.25">
      <c r="A19" s="21">
        <f t="shared" ca="1" si="0"/>
        <v>10</v>
      </c>
      <c r="B19" s="11" t="s">
        <v>39</v>
      </c>
      <c r="C19" s="9" t="s">
        <v>77</v>
      </c>
      <c r="D19" s="9" t="s">
        <v>109</v>
      </c>
      <c r="E19" s="26" t="s">
        <v>110</v>
      </c>
      <c r="F19" s="11"/>
      <c r="G19" s="12"/>
      <c r="H19" s="28" t="s">
        <v>27</v>
      </c>
      <c r="I19" s="12"/>
      <c r="J19" s="11" t="s">
        <v>67</v>
      </c>
      <c r="K19" s="27"/>
    </row>
    <row r="20" spans="1:12" x14ac:dyDescent="0.25">
      <c r="A20" s="21">
        <f t="shared" ca="1" si="0"/>
        <v>11</v>
      </c>
      <c r="B20" s="11" t="s">
        <v>39</v>
      </c>
      <c r="C20" s="9" t="s">
        <v>76</v>
      </c>
      <c r="D20" s="42" t="s">
        <v>111</v>
      </c>
      <c r="E20" s="26" t="s">
        <v>112</v>
      </c>
      <c r="F20" s="11"/>
      <c r="G20" s="11"/>
      <c r="H20" s="28" t="s">
        <v>27</v>
      </c>
      <c r="I20" s="11"/>
      <c r="J20" s="11" t="s">
        <v>29</v>
      </c>
      <c r="K20" s="9"/>
    </row>
    <row r="21" spans="1:12" ht="47.25" customHeight="1" x14ac:dyDescent="0.25">
      <c r="A21" s="21">
        <f t="shared" ca="1" si="0"/>
        <v>12</v>
      </c>
      <c r="B21" s="34" t="s">
        <v>39</v>
      </c>
      <c r="C21" s="35" t="s">
        <v>76</v>
      </c>
      <c r="D21" s="43" t="s">
        <v>113</v>
      </c>
      <c r="E21" s="38" t="s">
        <v>114</v>
      </c>
      <c r="F21" s="34" t="s">
        <v>115</v>
      </c>
      <c r="G21" s="29">
        <v>46034</v>
      </c>
      <c r="H21" s="36" t="s">
        <v>27</v>
      </c>
      <c r="I21" s="34"/>
      <c r="J21" s="34" t="s">
        <v>29</v>
      </c>
      <c r="K21" s="35" t="s">
        <v>61</v>
      </c>
    </row>
    <row r="22" spans="1:12" ht="31.5" customHeight="1" x14ac:dyDescent="0.25">
      <c r="A22" s="21">
        <f t="shared" ca="1" si="0"/>
        <v>13</v>
      </c>
      <c r="B22" s="11" t="s">
        <v>39</v>
      </c>
      <c r="C22" s="9" t="s">
        <v>68</v>
      </c>
      <c r="D22" s="11" t="s">
        <v>116</v>
      </c>
      <c r="E22" s="9" t="s">
        <v>117</v>
      </c>
      <c r="F22" s="11" t="s">
        <v>118</v>
      </c>
      <c r="G22" s="29">
        <v>46034</v>
      </c>
      <c r="H22" s="37" t="s">
        <v>119</v>
      </c>
      <c r="I22" s="11"/>
      <c r="J22" s="11" t="s">
        <v>67</v>
      </c>
      <c r="K22" s="9"/>
    </row>
    <row r="23" spans="1:12" ht="31.5" customHeight="1" x14ac:dyDescent="0.25">
      <c r="A23" s="11">
        <v>14</v>
      </c>
      <c r="B23" s="11" t="s">
        <v>64</v>
      </c>
      <c r="C23" s="9" t="s">
        <v>64</v>
      </c>
      <c r="D23" s="42" t="s">
        <v>120</v>
      </c>
      <c r="E23" s="9" t="s">
        <v>121</v>
      </c>
      <c r="F23" s="9" t="s">
        <v>122</v>
      </c>
      <c r="G23" s="48">
        <v>46034</v>
      </c>
      <c r="H23" s="37" t="s">
        <v>123</v>
      </c>
      <c r="I23" s="11"/>
      <c r="J23" s="11" t="s">
        <v>29</v>
      </c>
      <c r="K23" s="9"/>
    </row>
    <row r="24" spans="1:12" s="17" customFormat="1" ht="31.5" customHeight="1" x14ac:dyDescent="0.25">
      <c r="A24" s="21">
        <f ca="1">IF(B24="","",MAX(OFFSET($A$1,0,0,ROW()-1,1))+1)</f>
        <v>15</v>
      </c>
      <c r="B24" s="11" t="s">
        <v>39</v>
      </c>
      <c r="C24" s="11" t="s">
        <v>76</v>
      </c>
      <c r="D24" s="42" t="s">
        <v>124</v>
      </c>
      <c r="E24" s="11" t="s">
        <v>125</v>
      </c>
      <c r="F24" s="9" t="s">
        <v>122</v>
      </c>
      <c r="G24" s="48">
        <v>46034</v>
      </c>
      <c r="H24" s="9" t="s">
        <v>123</v>
      </c>
      <c r="I24" s="11"/>
      <c r="J24" s="11" t="s">
        <v>29</v>
      </c>
      <c r="K24" s="9" t="s">
        <v>126</v>
      </c>
      <c r="L24" s="20"/>
    </row>
    <row r="25" spans="1:12" s="17" customFormat="1" x14ac:dyDescent="0.25">
      <c r="A25" s="11">
        <v>16</v>
      </c>
      <c r="B25" s="13"/>
      <c r="C25" s="13"/>
      <c r="D25" s="13"/>
      <c r="E25" s="13"/>
      <c r="F25" s="13"/>
      <c r="G25" s="13"/>
      <c r="H25" s="8"/>
      <c r="I25" s="13"/>
      <c r="J25" s="13"/>
      <c r="K25" s="8"/>
      <c r="L25" s="20"/>
    </row>
    <row r="27" spans="1:12" s="17" customFormat="1" x14ac:dyDescent="0.25">
      <c r="A27" s="13"/>
      <c r="B27" s="13"/>
      <c r="C27" s="13"/>
      <c r="D27" s="13"/>
      <c r="E27" s="13"/>
      <c r="F27" s="13"/>
      <c r="G27" s="13"/>
      <c r="H27" s="8"/>
      <c r="I27" s="13"/>
      <c r="J27" s="13"/>
      <c r="K27" s="8"/>
      <c r="L27" s="20"/>
    </row>
  </sheetData>
  <autoFilter ref="A9:K18" xr:uid="{00000000-0009-0000-0000-000001000000}"/>
  <mergeCells count="9">
    <mergeCell ref="A7:E7"/>
    <mergeCell ref="C5:D5"/>
    <mergeCell ref="C3:D3"/>
    <mergeCell ref="A1:K1"/>
    <mergeCell ref="C4:D4"/>
    <mergeCell ref="F6:H6"/>
    <mergeCell ref="C6:D6"/>
    <mergeCell ref="C2:D2"/>
    <mergeCell ref="J6:K6"/>
  </mergeCells>
  <conditionalFormatting sqref="F4">
    <cfRule type="containsText" dxfId="19" priority="1" operator="containsText" text="In Progress">
      <formula>NOT(ISERROR(SEARCH("In Progress",F4)))</formula>
    </cfRule>
    <cfRule type="containsText" dxfId="18" priority="2" operator="containsText" text="Open">
      <formula>NOT(ISERROR(SEARCH("Open",F4)))</formula>
    </cfRule>
  </conditionalFormatting>
  <conditionalFormatting sqref="J1:J3 J5 J7:J1048576">
    <cfRule type="containsText" dxfId="17" priority="3" operator="containsText" text="In Progress">
      <formula>NOT(ISERROR(SEARCH("In Progress",J1)))</formula>
    </cfRule>
    <cfRule type="containsText" dxfId="16" priority="4" operator="containsText" text="Open">
      <formula>NOT(ISERROR(SEARCH("Open",J1)))</formula>
    </cfRule>
  </conditionalFormatting>
  <pageMargins left="0.51181102362204722" right="0.31496062992125978" top="0.62992125984251968" bottom="0.19685039370078741" header="0.31496062992125978" footer="0.31496062992125978"/>
  <pageSetup paperSize="9" scale="45" orientation="landscape" horizontalDpi="360" verticalDpi="3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zoomScale="87" workbookViewId="0">
      <selection activeCell="E14" sqref="E14"/>
    </sheetView>
  </sheetViews>
  <sheetFormatPr defaultRowHeight="15" x14ac:dyDescent="0.25"/>
  <cols>
    <col min="1" max="1" width="6.5703125" customWidth="1"/>
    <col min="2" max="2" width="13.5703125" customWidth="1"/>
    <col min="3" max="3" width="15.42578125" customWidth="1"/>
    <col min="4" max="4" width="34.5703125" customWidth="1"/>
    <col min="5" max="5" width="80.5703125" customWidth="1"/>
    <col min="6" max="6" width="15.28515625" bestFit="1" customWidth="1"/>
    <col min="7" max="7" width="15.85546875" bestFit="1" customWidth="1"/>
    <col min="8" max="8" width="9" bestFit="1" customWidth="1"/>
    <col min="9" max="9" width="13.140625" bestFit="1" customWidth="1"/>
    <col min="10" max="10" width="11.85546875" bestFit="1" customWidth="1"/>
    <col min="11" max="11" width="75.28515625" customWidth="1"/>
  </cols>
  <sheetData>
    <row r="1" spans="1:13" ht="21" customHeight="1" x14ac:dyDescent="0.25">
      <c r="A1" s="77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20"/>
    </row>
    <row r="2" spans="1:13" ht="15.75" customHeight="1" x14ac:dyDescent="0.25">
      <c r="A2" s="18"/>
      <c r="B2" s="18"/>
      <c r="C2" s="76" t="s">
        <v>1</v>
      </c>
      <c r="D2" s="74"/>
      <c r="E2" s="1" t="s">
        <v>79</v>
      </c>
      <c r="F2" s="1"/>
      <c r="G2" s="1"/>
      <c r="H2" s="1"/>
      <c r="I2" s="1"/>
      <c r="J2" s="1"/>
      <c r="K2" s="1"/>
      <c r="L2" s="20"/>
    </row>
    <row r="3" spans="1:13" ht="22.5" customHeight="1" x14ac:dyDescent="0.25">
      <c r="A3" s="18"/>
      <c r="B3" s="18"/>
      <c r="C3" s="76" t="s">
        <v>3</v>
      </c>
      <c r="D3" s="74"/>
      <c r="E3" s="1" t="s">
        <v>4</v>
      </c>
      <c r="F3" s="1"/>
      <c r="G3" s="1"/>
      <c r="H3" s="1"/>
      <c r="I3" s="1"/>
      <c r="J3" s="1"/>
      <c r="K3" s="1"/>
      <c r="L3" s="20"/>
    </row>
    <row r="4" spans="1:13" ht="24" customHeight="1" x14ac:dyDescent="0.25">
      <c r="A4" s="18"/>
      <c r="B4" s="18"/>
      <c r="C4" s="76" t="s">
        <v>5</v>
      </c>
      <c r="D4" s="74"/>
      <c r="E4" s="4">
        <f t="array" aca="1" ref="E4" ca="1">VALUE(MID(CELL("filename", A1), FIND("]", CELL("filename", A1)) + 1, 15))</f>
        <v>46048</v>
      </c>
      <c r="F4" s="3" t="s">
        <v>6</v>
      </c>
      <c r="G4" s="7">
        <v>0.5625</v>
      </c>
      <c r="H4" s="3" t="s">
        <v>7</v>
      </c>
      <c r="I4" s="7">
        <v>0.64583333333333337</v>
      </c>
      <c r="J4" s="15"/>
      <c r="K4" s="6"/>
      <c r="L4" s="20"/>
    </row>
    <row r="5" spans="1:13" ht="24" customHeight="1" x14ac:dyDescent="0.25">
      <c r="A5" s="18"/>
      <c r="B5" s="18"/>
      <c r="C5" s="76" t="s">
        <v>8</v>
      </c>
      <c r="D5" s="74"/>
      <c r="E5" s="1" t="s">
        <v>9</v>
      </c>
      <c r="F5" s="1"/>
      <c r="G5" s="7"/>
      <c r="H5" s="1"/>
      <c r="I5" s="7"/>
      <c r="J5" s="1"/>
      <c r="K5" s="1"/>
      <c r="L5" s="20"/>
    </row>
    <row r="6" spans="1:13" ht="151.5" customHeight="1" x14ac:dyDescent="0.25">
      <c r="A6" s="19"/>
      <c r="B6" s="19"/>
      <c r="C6" s="80" t="s">
        <v>10</v>
      </c>
      <c r="D6" s="79"/>
      <c r="E6" s="23" t="s">
        <v>80</v>
      </c>
      <c r="F6" s="78" t="s">
        <v>127</v>
      </c>
      <c r="G6" s="79"/>
      <c r="H6" s="79"/>
      <c r="I6" s="23"/>
      <c r="J6" s="81"/>
      <c r="K6" s="74"/>
      <c r="L6" s="20"/>
      <c r="M6" s="5"/>
    </row>
    <row r="7" spans="1:13" ht="15.75" customHeight="1" x14ac:dyDescent="0.25">
      <c r="A7" s="73" t="s">
        <v>11</v>
      </c>
      <c r="B7" s="74"/>
      <c r="C7" s="74"/>
      <c r="D7" s="74"/>
      <c r="E7" s="74"/>
      <c r="H7" s="5"/>
      <c r="K7" s="5"/>
      <c r="L7" s="20"/>
    </row>
    <row r="8" spans="1:13" ht="15.75" customHeight="1" x14ac:dyDescent="0.25">
      <c r="A8" s="1"/>
      <c r="B8" s="1"/>
      <c r="C8" s="1"/>
      <c r="D8" s="1"/>
      <c r="E8" s="1"/>
      <c r="H8" s="5"/>
      <c r="K8" s="5"/>
      <c r="L8" s="20"/>
    </row>
    <row r="9" spans="1:13" ht="33" customHeight="1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0" t="s">
        <v>22</v>
      </c>
      <c r="L9" s="20"/>
    </row>
    <row r="10" spans="1:13" ht="31.5" customHeight="1" x14ac:dyDescent="0.25">
      <c r="A10" s="21">
        <f t="shared" ref="A10:A22" ca="1" si="0">IF(B10="","",MAX(OFFSET($A$1,0,0,ROW()-1,1))+1)</f>
        <v>1</v>
      </c>
      <c r="B10" s="11" t="s">
        <v>64</v>
      </c>
      <c r="C10" s="9" t="s">
        <v>76</v>
      </c>
      <c r="D10" s="41" t="s">
        <v>82</v>
      </c>
      <c r="E10" s="24" t="s">
        <v>83</v>
      </c>
      <c r="F10" s="28" t="s">
        <v>84</v>
      </c>
      <c r="G10" s="29">
        <v>46027</v>
      </c>
      <c r="H10" s="28" t="s">
        <v>27</v>
      </c>
      <c r="I10" s="22" t="s">
        <v>28</v>
      </c>
      <c r="J10" s="11" t="s">
        <v>67</v>
      </c>
      <c r="K10" s="14" t="s">
        <v>85</v>
      </c>
      <c r="L10" s="20"/>
    </row>
    <row r="11" spans="1:13" ht="110.25" customHeight="1" x14ac:dyDescent="0.25">
      <c r="A11" s="21">
        <f t="shared" ca="1" si="0"/>
        <v>2</v>
      </c>
      <c r="B11" s="11" t="s">
        <v>39</v>
      </c>
      <c r="C11" s="9" t="s">
        <v>72</v>
      </c>
      <c r="D11" s="9" t="s">
        <v>86</v>
      </c>
      <c r="E11" s="24" t="s">
        <v>87</v>
      </c>
      <c r="F11" s="30" t="s">
        <v>88</v>
      </c>
      <c r="G11" s="29">
        <v>46027</v>
      </c>
      <c r="H11" s="28" t="s">
        <v>27</v>
      </c>
      <c r="I11" s="22" t="s">
        <v>28</v>
      </c>
      <c r="J11" s="11" t="s">
        <v>67</v>
      </c>
      <c r="K11" s="14" t="s">
        <v>89</v>
      </c>
      <c r="L11" s="20"/>
    </row>
    <row r="12" spans="1:13" ht="47.25" customHeight="1" x14ac:dyDescent="0.25">
      <c r="A12" s="21">
        <f t="shared" ca="1" si="0"/>
        <v>3</v>
      </c>
      <c r="B12" s="11" t="s">
        <v>39</v>
      </c>
      <c r="C12" s="9" t="s">
        <v>72</v>
      </c>
      <c r="D12" s="9" t="s">
        <v>90</v>
      </c>
      <c r="E12" s="24" t="s">
        <v>91</v>
      </c>
      <c r="F12" s="28" t="s">
        <v>92</v>
      </c>
      <c r="G12" s="29">
        <v>46027</v>
      </c>
      <c r="H12" s="28" t="s">
        <v>27</v>
      </c>
      <c r="I12" s="22" t="s">
        <v>28</v>
      </c>
      <c r="J12" s="11" t="s">
        <v>67</v>
      </c>
      <c r="K12" s="14" t="s">
        <v>89</v>
      </c>
      <c r="L12" s="20"/>
    </row>
    <row r="13" spans="1:13" ht="94.5" customHeight="1" x14ac:dyDescent="0.25">
      <c r="A13" s="21">
        <f t="shared" ca="1" si="0"/>
        <v>4</v>
      </c>
      <c r="B13" s="11" t="s">
        <v>39</v>
      </c>
      <c r="C13" s="9" t="s">
        <v>76</v>
      </c>
      <c r="D13" s="41" t="s">
        <v>93</v>
      </c>
      <c r="E13" s="24" t="s">
        <v>94</v>
      </c>
      <c r="F13" s="28" t="s">
        <v>95</v>
      </c>
      <c r="G13" s="29">
        <v>46027</v>
      </c>
      <c r="H13" s="28" t="s">
        <v>27</v>
      </c>
      <c r="I13" s="22" t="s">
        <v>28</v>
      </c>
      <c r="J13" s="11" t="s">
        <v>29</v>
      </c>
      <c r="K13" s="24" t="s">
        <v>96</v>
      </c>
      <c r="L13" s="20"/>
    </row>
    <row r="14" spans="1:13" ht="141.75" customHeight="1" x14ac:dyDescent="0.25">
      <c r="A14" s="21">
        <f t="shared" ca="1" si="0"/>
        <v>5</v>
      </c>
      <c r="B14" s="11" t="s">
        <v>39</v>
      </c>
      <c r="C14" s="9" t="s">
        <v>76</v>
      </c>
      <c r="D14" s="41" t="s">
        <v>97</v>
      </c>
      <c r="E14" s="24" t="s">
        <v>98</v>
      </c>
      <c r="F14" s="28" t="s">
        <v>92</v>
      </c>
      <c r="G14" s="29">
        <v>46027</v>
      </c>
      <c r="H14" s="28" t="s">
        <v>27</v>
      </c>
      <c r="I14" s="22" t="s">
        <v>28</v>
      </c>
      <c r="J14" s="11" t="s">
        <v>29</v>
      </c>
      <c r="K14" s="14" t="s">
        <v>99</v>
      </c>
      <c r="L14" s="20"/>
    </row>
    <row r="15" spans="1:13" ht="31.5" customHeight="1" x14ac:dyDescent="0.25">
      <c r="A15" s="21">
        <f t="shared" ca="1" si="0"/>
        <v>6</v>
      </c>
      <c r="B15" s="11" t="s">
        <v>39</v>
      </c>
      <c r="C15" s="9" t="s">
        <v>76</v>
      </c>
      <c r="D15" s="41" t="s">
        <v>100</v>
      </c>
      <c r="E15" s="25" t="s">
        <v>101</v>
      </c>
      <c r="F15" s="28" t="s">
        <v>102</v>
      </c>
      <c r="G15" s="29">
        <v>46027</v>
      </c>
      <c r="H15" s="28" t="s">
        <v>27</v>
      </c>
      <c r="I15" s="22" t="s">
        <v>28</v>
      </c>
      <c r="J15" s="11" t="s">
        <v>29</v>
      </c>
      <c r="K15" s="14" t="s">
        <v>103</v>
      </c>
      <c r="L15" s="20"/>
    </row>
    <row r="16" spans="1:13" s="33" customFormat="1" ht="78.75" customHeight="1" x14ac:dyDescent="0.25">
      <c r="A16" s="21">
        <f t="shared" ca="1" si="0"/>
        <v>7</v>
      </c>
      <c r="B16" s="11" t="s">
        <v>39</v>
      </c>
      <c r="C16" s="9" t="s">
        <v>76</v>
      </c>
      <c r="D16" s="41" t="s">
        <v>104</v>
      </c>
      <c r="E16" s="31" t="s">
        <v>104</v>
      </c>
      <c r="F16" s="11"/>
      <c r="G16" s="12"/>
      <c r="H16" s="28" t="s">
        <v>27</v>
      </c>
      <c r="I16" s="22"/>
      <c r="J16" s="11" t="s">
        <v>29</v>
      </c>
      <c r="K16" s="14" t="s">
        <v>47</v>
      </c>
      <c r="L16" s="32"/>
    </row>
    <row r="17" spans="1:12" ht="15.75" customHeight="1" x14ac:dyDescent="0.25">
      <c r="A17" s="21">
        <f t="shared" ca="1" si="0"/>
        <v>8</v>
      </c>
      <c r="B17" s="11" t="s">
        <v>39</v>
      </c>
      <c r="C17" s="9" t="s">
        <v>77</v>
      </c>
      <c r="D17" s="9" t="s">
        <v>105</v>
      </c>
      <c r="E17" s="26" t="s">
        <v>106</v>
      </c>
      <c r="F17" s="11"/>
      <c r="G17" s="12"/>
      <c r="H17" s="28" t="s">
        <v>27</v>
      </c>
      <c r="I17" s="22"/>
      <c r="J17" s="11" t="s">
        <v>73</v>
      </c>
      <c r="K17" s="9"/>
      <c r="L17" s="20"/>
    </row>
    <row r="18" spans="1:12" s="20" customFormat="1" ht="15.75" customHeight="1" x14ac:dyDescent="0.25">
      <c r="A18" s="21">
        <f t="shared" ca="1" si="0"/>
        <v>9</v>
      </c>
      <c r="B18" s="11" t="s">
        <v>39</v>
      </c>
      <c r="C18" s="9" t="s">
        <v>77</v>
      </c>
      <c r="D18" s="9" t="s">
        <v>107</v>
      </c>
      <c r="E18" s="26" t="s">
        <v>108</v>
      </c>
      <c r="F18" s="11"/>
      <c r="G18" s="12"/>
      <c r="H18" s="28" t="s">
        <v>27</v>
      </c>
      <c r="I18" s="12"/>
      <c r="J18" s="11" t="s">
        <v>73</v>
      </c>
      <c r="K18" s="9" t="s">
        <v>52</v>
      </c>
    </row>
    <row r="19" spans="1:12" s="20" customFormat="1" ht="15.75" customHeight="1" x14ac:dyDescent="0.25">
      <c r="A19" s="21">
        <f t="shared" ca="1" si="0"/>
        <v>10</v>
      </c>
      <c r="B19" s="11" t="s">
        <v>39</v>
      </c>
      <c r="C19" s="9" t="s">
        <v>77</v>
      </c>
      <c r="D19" s="9" t="s">
        <v>109</v>
      </c>
      <c r="E19" s="26" t="s">
        <v>110</v>
      </c>
      <c r="F19" s="11"/>
      <c r="G19" s="12"/>
      <c r="H19" s="28" t="s">
        <v>27</v>
      </c>
      <c r="I19" s="12"/>
      <c r="J19" s="11" t="s">
        <v>73</v>
      </c>
      <c r="K19" s="27" t="s">
        <v>52</v>
      </c>
    </row>
    <row r="20" spans="1:12" ht="15.75" customHeight="1" x14ac:dyDescent="0.25">
      <c r="A20" s="21">
        <f t="shared" ca="1" si="0"/>
        <v>11</v>
      </c>
      <c r="B20" s="11" t="s">
        <v>39</v>
      </c>
      <c r="C20" s="9" t="s">
        <v>76</v>
      </c>
      <c r="D20" s="42" t="s">
        <v>111</v>
      </c>
      <c r="E20" s="26" t="s">
        <v>112</v>
      </c>
      <c r="F20" s="11"/>
      <c r="G20" s="11"/>
      <c r="H20" s="28" t="s">
        <v>27</v>
      </c>
      <c r="I20" s="11"/>
      <c r="J20" s="11" t="s">
        <v>29</v>
      </c>
      <c r="K20" s="9"/>
      <c r="L20" s="20"/>
    </row>
    <row r="21" spans="1:12" ht="47.25" customHeight="1" x14ac:dyDescent="0.25">
      <c r="A21" s="21">
        <f t="shared" ca="1" si="0"/>
        <v>12</v>
      </c>
      <c r="B21" s="34" t="s">
        <v>39</v>
      </c>
      <c r="C21" s="35" t="s">
        <v>76</v>
      </c>
      <c r="D21" s="43" t="s">
        <v>113</v>
      </c>
      <c r="E21" s="38" t="s">
        <v>114</v>
      </c>
      <c r="F21" s="34" t="s">
        <v>115</v>
      </c>
      <c r="G21" s="29">
        <v>46034</v>
      </c>
      <c r="H21" s="36" t="s">
        <v>27</v>
      </c>
      <c r="I21" s="34"/>
      <c r="J21" s="34" t="s">
        <v>29</v>
      </c>
      <c r="K21" s="35" t="s">
        <v>61</v>
      </c>
      <c r="L21" s="20"/>
    </row>
    <row r="22" spans="1:12" ht="31.5" customHeight="1" x14ac:dyDescent="0.25">
      <c r="A22" s="21">
        <f t="shared" ca="1" si="0"/>
        <v>13</v>
      </c>
      <c r="B22" s="11" t="s">
        <v>39</v>
      </c>
      <c r="C22" s="9" t="s">
        <v>68</v>
      </c>
      <c r="D22" s="11" t="s">
        <v>116</v>
      </c>
      <c r="E22" s="9" t="s">
        <v>117</v>
      </c>
      <c r="F22" s="11" t="s">
        <v>118</v>
      </c>
      <c r="G22" s="29">
        <v>46034</v>
      </c>
      <c r="H22" s="37" t="s">
        <v>119</v>
      </c>
      <c r="I22" s="11"/>
      <c r="J22" s="11" t="s">
        <v>73</v>
      </c>
      <c r="K22" s="9"/>
    </row>
    <row r="23" spans="1:12" ht="31.5" customHeight="1" x14ac:dyDescent="0.25">
      <c r="A23" s="11">
        <v>14</v>
      </c>
      <c r="B23" s="11" t="s">
        <v>64</v>
      </c>
      <c r="C23" s="9" t="s">
        <v>64</v>
      </c>
      <c r="D23" s="42" t="s">
        <v>120</v>
      </c>
      <c r="E23" s="9" t="s">
        <v>121</v>
      </c>
      <c r="F23" s="9" t="s">
        <v>122</v>
      </c>
      <c r="G23" s="48">
        <v>46034</v>
      </c>
      <c r="H23" s="37" t="s">
        <v>123</v>
      </c>
      <c r="I23" s="11"/>
      <c r="J23" s="11" t="s">
        <v>29</v>
      </c>
      <c r="K23" s="9"/>
      <c r="L23" s="20"/>
    </row>
    <row r="24" spans="1:12" s="17" customFormat="1" ht="31.5" customHeight="1" x14ac:dyDescent="0.25">
      <c r="A24" s="21">
        <f ca="1">IF(B24="","",MAX(OFFSET($A$1,0,0,ROW()-1,1))+1)</f>
        <v>15</v>
      </c>
      <c r="B24" s="11" t="s">
        <v>39</v>
      </c>
      <c r="C24" s="11" t="s">
        <v>76</v>
      </c>
      <c r="D24" s="42" t="s">
        <v>124</v>
      </c>
      <c r="E24" s="11" t="s">
        <v>125</v>
      </c>
      <c r="F24" s="9" t="s">
        <v>122</v>
      </c>
      <c r="G24" s="48">
        <v>46034</v>
      </c>
      <c r="H24" s="9" t="s">
        <v>123</v>
      </c>
      <c r="I24" s="11"/>
      <c r="J24" s="11" t="s">
        <v>29</v>
      </c>
      <c r="K24" s="9" t="s">
        <v>126</v>
      </c>
      <c r="L24" s="20"/>
    </row>
    <row r="25" spans="1:12" s="17" customFormat="1" ht="31.5" customHeight="1" x14ac:dyDescent="0.25">
      <c r="A25" s="11">
        <v>16</v>
      </c>
      <c r="B25" s="11" t="s">
        <v>64</v>
      </c>
      <c r="C25" s="9" t="s">
        <v>64</v>
      </c>
      <c r="D25" s="11" t="s">
        <v>128</v>
      </c>
      <c r="E25" s="11" t="s">
        <v>129</v>
      </c>
      <c r="F25" s="11" t="s">
        <v>115</v>
      </c>
      <c r="G25" s="57">
        <v>46048</v>
      </c>
      <c r="H25" s="9" t="s">
        <v>123</v>
      </c>
      <c r="I25" s="11"/>
      <c r="J25" s="11" t="s">
        <v>73</v>
      </c>
      <c r="K25" s="9"/>
      <c r="L25" s="20"/>
    </row>
    <row r="26" spans="1:12" ht="31.5" customHeight="1" x14ac:dyDescent="0.25">
      <c r="A26" s="21">
        <f ca="1">IF(B26="","",MAX(OFFSET($A$1,0,0,ROW()-1,1))+1)</f>
        <v>17</v>
      </c>
      <c r="B26" s="11" t="s">
        <v>64</v>
      </c>
      <c r="C26" s="9" t="s">
        <v>64</v>
      </c>
      <c r="D26" s="11" t="s">
        <v>130</v>
      </c>
      <c r="E26" s="9" t="s">
        <v>131</v>
      </c>
      <c r="F26" s="11" t="s">
        <v>115</v>
      </c>
      <c r="G26" s="57">
        <v>46048</v>
      </c>
      <c r="H26" s="9" t="s">
        <v>123</v>
      </c>
      <c r="I26" s="11"/>
      <c r="J26" s="11" t="s">
        <v>73</v>
      </c>
      <c r="K26" s="9"/>
      <c r="L26" s="20"/>
    </row>
    <row r="27" spans="1:12" s="17" customFormat="1" ht="31.5" customHeight="1" x14ac:dyDescent="0.25">
      <c r="A27" s="11">
        <v>17</v>
      </c>
      <c r="B27" s="11" t="s">
        <v>64</v>
      </c>
      <c r="C27" s="9" t="s">
        <v>64</v>
      </c>
      <c r="D27" s="11" t="s">
        <v>132</v>
      </c>
      <c r="E27" s="11" t="s">
        <v>133</v>
      </c>
      <c r="F27" s="11" t="s">
        <v>115</v>
      </c>
      <c r="G27" s="57">
        <v>46048</v>
      </c>
      <c r="H27" s="9" t="s">
        <v>123</v>
      </c>
      <c r="I27" s="11"/>
      <c r="J27" s="11" t="s">
        <v>73</v>
      </c>
      <c r="K27" s="9"/>
      <c r="L27" s="20"/>
    </row>
    <row r="28" spans="1:12" ht="31.5" customHeight="1" x14ac:dyDescent="0.25">
      <c r="A28" s="21">
        <f ca="1">IF(B28="","",MAX(OFFSET($A$1,0,0,ROW()-1,1))+1)</f>
        <v>18</v>
      </c>
      <c r="B28" s="11" t="s">
        <v>39</v>
      </c>
      <c r="C28" s="9" t="s">
        <v>78</v>
      </c>
      <c r="D28" s="11" t="s">
        <v>134</v>
      </c>
      <c r="E28" s="9" t="s">
        <v>135</v>
      </c>
      <c r="F28" s="11" t="s">
        <v>136</v>
      </c>
      <c r="G28" s="57">
        <v>46048</v>
      </c>
      <c r="H28" s="9" t="s">
        <v>27</v>
      </c>
      <c r="I28" s="11"/>
      <c r="J28" s="11" t="s">
        <v>29</v>
      </c>
      <c r="K28" s="9"/>
      <c r="L28" s="20"/>
    </row>
    <row r="29" spans="1:12" ht="15.75" customHeight="1" x14ac:dyDescent="0.25">
      <c r="A29" s="13"/>
      <c r="B29" s="13"/>
      <c r="C29" s="13"/>
      <c r="D29" s="13"/>
      <c r="E29" s="8"/>
      <c r="F29" s="13"/>
      <c r="G29" s="13"/>
      <c r="H29" s="8"/>
      <c r="I29" s="13"/>
      <c r="J29" s="13"/>
      <c r="K29" s="8"/>
      <c r="L29" s="20"/>
    </row>
  </sheetData>
  <mergeCells count="9">
    <mergeCell ref="A7:E7"/>
    <mergeCell ref="C5:D5"/>
    <mergeCell ref="C3:D3"/>
    <mergeCell ref="A1:K1"/>
    <mergeCell ref="C4:D4"/>
    <mergeCell ref="F6:H6"/>
    <mergeCell ref="C6:D6"/>
    <mergeCell ref="C2:D2"/>
    <mergeCell ref="J6:K6"/>
  </mergeCells>
  <conditionalFormatting sqref="F4">
    <cfRule type="containsText" dxfId="15" priority="1" operator="containsText" text="In Progress">
      <formula>NOT(ISERROR(SEARCH("In Progress",F4)))</formula>
    </cfRule>
    <cfRule type="containsText" dxfId="14" priority="2" operator="containsText" text="Open">
      <formula>NOT(ISERROR(SEARCH("Open",F4)))</formula>
    </cfRule>
  </conditionalFormatting>
  <conditionalFormatting sqref="J1:J3 J5 J7:J29">
    <cfRule type="containsText" dxfId="13" priority="3" operator="containsText" text="In Progress">
      <formula>NOT(ISERROR(SEARCH("In Progress",J1)))</formula>
    </cfRule>
    <cfRule type="containsText" dxfId="12" priority="4" operator="containsText" text="Open">
      <formula>NOT(ISERROR(SEARCH("Open",J1)))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38"/>
  <sheetViews>
    <sheetView topLeftCell="A20" zoomScale="87" workbookViewId="0">
      <selection activeCell="E38" sqref="E38"/>
    </sheetView>
  </sheetViews>
  <sheetFormatPr defaultRowHeight="15" x14ac:dyDescent="0.25"/>
  <cols>
    <col min="1" max="1" width="6.5703125" customWidth="1"/>
    <col min="2" max="2" width="13.5703125" customWidth="1"/>
    <col min="3" max="3" width="15.42578125" customWidth="1"/>
    <col min="4" max="4" width="34.5703125" customWidth="1"/>
    <col min="5" max="5" width="80.5703125" customWidth="1"/>
    <col min="6" max="6" width="15.28515625" bestFit="1" customWidth="1"/>
    <col min="7" max="7" width="15.85546875" bestFit="1" customWidth="1"/>
    <col min="8" max="8" width="9" bestFit="1" customWidth="1"/>
    <col min="9" max="9" width="13.140625" bestFit="1" customWidth="1"/>
    <col min="10" max="10" width="11.85546875" bestFit="1" customWidth="1"/>
    <col min="11" max="11" width="75.28515625" customWidth="1"/>
  </cols>
  <sheetData>
    <row r="1" spans="1:13" ht="21" customHeight="1" x14ac:dyDescent="0.25">
      <c r="A1" s="77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20"/>
    </row>
    <row r="2" spans="1:13" ht="15.75" customHeight="1" x14ac:dyDescent="0.25">
      <c r="A2" s="18"/>
      <c r="B2" s="18"/>
      <c r="C2" s="76" t="s">
        <v>1</v>
      </c>
      <c r="D2" s="74"/>
      <c r="E2" s="1" t="s">
        <v>137</v>
      </c>
      <c r="F2" s="1"/>
      <c r="G2" s="1"/>
      <c r="H2" s="1"/>
      <c r="I2" s="1"/>
      <c r="J2" s="1"/>
      <c r="K2" s="1"/>
      <c r="L2" s="20"/>
    </row>
    <row r="3" spans="1:13" ht="22.5" customHeight="1" x14ac:dyDescent="0.25">
      <c r="A3" s="18"/>
      <c r="B3" s="18"/>
      <c r="C3" s="76" t="s">
        <v>3</v>
      </c>
      <c r="D3" s="74"/>
      <c r="E3" s="1" t="s">
        <v>4</v>
      </c>
      <c r="F3" s="1"/>
      <c r="G3" s="1"/>
      <c r="H3" s="1"/>
      <c r="I3" s="1"/>
      <c r="J3" s="1"/>
      <c r="K3" s="1"/>
      <c r="L3" s="20"/>
    </row>
    <row r="4" spans="1:13" ht="24" customHeight="1" x14ac:dyDescent="0.25">
      <c r="A4" s="18"/>
      <c r="B4" s="18"/>
      <c r="C4" s="76" t="s">
        <v>5</v>
      </c>
      <c r="D4" s="74"/>
      <c r="E4" s="4">
        <f t="array" aca="1" ref="E4" ca="1">VALUE(MID(CELL("filename", A1), FIND("]", CELL("filename", A1)) + 1, 15))</f>
        <v>46062</v>
      </c>
      <c r="F4" s="3" t="s">
        <v>6</v>
      </c>
      <c r="G4" s="7">
        <v>0.5625</v>
      </c>
      <c r="H4" s="3" t="s">
        <v>7</v>
      </c>
      <c r="I4" s="7">
        <v>0.64583333333333337</v>
      </c>
      <c r="J4" s="15"/>
      <c r="K4" s="6"/>
      <c r="L4" s="20"/>
    </row>
    <row r="5" spans="1:13" ht="24" customHeight="1" x14ac:dyDescent="0.25">
      <c r="A5" s="18"/>
      <c r="B5" s="18"/>
      <c r="C5" s="76" t="s">
        <v>8</v>
      </c>
      <c r="D5" s="74"/>
      <c r="E5" s="1" t="s">
        <v>9</v>
      </c>
      <c r="F5" s="1"/>
      <c r="G5" s="7"/>
      <c r="H5" s="1"/>
      <c r="I5" s="7"/>
      <c r="J5" s="1"/>
      <c r="K5" s="1"/>
      <c r="L5" s="20"/>
    </row>
    <row r="6" spans="1:13" ht="151.5" customHeight="1" x14ac:dyDescent="0.25">
      <c r="A6" s="19"/>
      <c r="B6" s="19"/>
      <c r="C6" s="80" t="s">
        <v>10</v>
      </c>
      <c r="D6" s="79"/>
      <c r="E6" s="23" t="s">
        <v>138</v>
      </c>
      <c r="F6" s="78" t="s">
        <v>139</v>
      </c>
      <c r="G6" s="79"/>
      <c r="H6" s="79"/>
      <c r="I6" s="23"/>
      <c r="J6" s="81"/>
      <c r="K6" s="74"/>
      <c r="L6" s="20"/>
      <c r="M6" s="5"/>
    </row>
    <row r="7" spans="1:13" ht="15.75" customHeight="1" x14ac:dyDescent="0.25">
      <c r="A7" s="73" t="s">
        <v>11</v>
      </c>
      <c r="B7" s="74"/>
      <c r="C7" s="74"/>
      <c r="D7" s="74"/>
      <c r="E7" s="74"/>
      <c r="H7" s="5"/>
      <c r="K7" s="5"/>
      <c r="L7" s="20"/>
    </row>
    <row r="8" spans="1:13" ht="15.75" customHeight="1" x14ac:dyDescent="0.25">
      <c r="A8" s="1"/>
      <c r="B8" s="1"/>
      <c r="C8" s="1"/>
      <c r="D8" s="1"/>
      <c r="E8" s="1"/>
      <c r="H8" s="5"/>
      <c r="K8" s="5"/>
      <c r="L8" s="20"/>
    </row>
    <row r="9" spans="1:13" ht="33" customHeight="1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0" t="s">
        <v>22</v>
      </c>
      <c r="L9" s="20"/>
    </row>
    <row r="10" spans="1:13" ht="63" customHeight="1" x14ac:dyDescent="0.25">
      <c r="A10" s="21">
        <f t="shared" ref="A10:A37" ca="1" si="0">IF(B10="","",MAX(OFFSET($A$1,0,0,ROW()-1,1))+1)</f>
        <v>1</v>
      </c>
      <c r="B10" s="11" t="s">
        <v>64</v>
      </c>
      <c r="C10" s="9" t="s">
        <v>76</v>
      </c>
      <c r="D10" s="41" t="s">
        <v>82</v>
      </c>
      <c r="E10" s="24" t="s">
        <v>83</v>
      </c>
      <c r="F10" s="28" t="s">
        <v>84</v>
      </c>
      <c r="G10" s="29">
        <v>46027</v>
      </c>
      <c r="H10" s="28" t="s">
        <v>27</v>
      </c>
      <c r="I10" s="22" t="s">
        <v>28</v>
      </c>
      <c r="J10" s="11" t="s">
        <v>67</v>
      </c>
      <c r="K10" s="14" t="s">
        <v>140</v>
      </c>
      <c r="L10" s="20"/>
    </row>
    <row r="11" spans="1:13" ht="110.25" hidden="1" customHeight="1" x14ac:dyDescent="0.25">
      <c r="A11" s="21">
        <f t="shared" ca="1" si="0"/>
        <v>2</v>
      </c>
      <c r="B11" s="11" t="s">
        <v>39</v>
      </c>
      <c r="C11" s="9" t="s">
        <v>72</v>
      </c>
      <c r="D11" s="9" t="s">
        <v>86</v>
      </c>
      <c r="E11" s="24" t="s">
        <v>87</v>
      </c>
      <c r="F11" s="30" t="s">
        <v>88</v>
      </c>
      <c r="G11" s="29">
        <v>46027</v>
      </c>
      <c r="H11" s="28" t="s">
        <v>27</v>
      </c>
      <c r="I11" s="22" t="s">
        <v>28</v>
      </c>
      <c r="J11" s="11" t="s">
        <v>73</v>
      </c>
      <c r="K11" s="14" t="s">
        <v>33</v>
      </c>
      <c r="L11" s="20"/>
    </row>
    <row r="12" spans="1:13" ht="47.25" hidden="1" customHeight="1" x14ac:dyDescent="0.25">
      <c r="A12" s="21">
        <f t="shared" ca="1" si="0"/>
        <v>3</v>
      </c>
      <c r="B12" s="11" t="s">
        <v>39</v>
      </c>
      <c r="C12" s="9" t="s">
        <v>72</v>
      </c>
      <c r="D12" s="9" t="s">
        <v>90</v>
      </c>
      <c r="E12" s="24" t="s">
        <v>91</v>
      </c>
      <c r="F12" s="28" t="s">
        <v>92</v>
      </c>
      <c r="G12" s="29">
        <v>46027</v>
      </c>
      <c r="H12" s="28" t="s">
        <v>27</v>
      </c>
      <c r="I12" s="22" t="s">
        <v>28</v>
      </c>
      <c r="J12" s="11" t="s">
        <v>73</v>
      </c>
      <c r="K12" s="14" t="s">
        <v>33</v>
      </c>
      <c r="L12" s="20"/>
    </row>
    <row r="13" spans="1:13" ht="94.5" customHeight="1" x14ac:dyDescent="0.25">
      <c r="A13" s="21">
        <f t="shared" ca="1" si="0"/>
        <v>4</v>
      </c>
      <c r="B13" s="11" t="s">
        <v>39</v>
      </c>
      <c r="C13" s="9" t="s">
        <v>76</v>
      </c>
      <c r="D13" s="41" t="s">
        <v>93</v>
      </c>
      <c r="E13" s="24" t="s">
        <v>94</v>
      </c>
      <c r="F13" s="28" t="s">
        <v>95</v>
      </c>
      <c r="G13" s="29">
        <v>46027</v>
      </c>
      <c r="H13" s="28" t="s">
        <v>27</v>
      </c>
      <c r="I13" s="22" t="s">
        <v>28</v>
      </c>
      <c r="J13" s="11" t="s">
        <v>67</v>
      </c>
      <c r="K13" s="24" t="s">
        <v>96</v>
      </c>
      <c r="L13" s="20"/>
    </row>
    <row r="14" spans="1:13" ht="141.75" customHeight="1" x14ac:dyDescent="0.25">
      <c r="A14" s="21">
        <f t="shared" ca="1" si="0"/>
        <v>5</v>
      </c>
      <c r="B14" s="11" t="s">
        <v>39</v>
      </c>
      <c r="C14" s="9" t="s">
        <v>76</v>
      </c>
      <c r="D14" s="41" t="s">
        <v>97</v>
      </c>
      <c r="E14" s="24" t="s">
        <v>98</v>
      </c>
      <c r="F14" s="28" t="s">
        <v>92</v>
      </c>
      <c r="G14" s="29">
        <v>46027</v>
      </c>
      <c r="H14" s="28" t="s">
        <v>27</v>
      </c>
      <c r="I14" s="22" t="s">
        <v>28</v>
      </c>
      <c r="J14" s="11" t="s">
        <v>29</v>
      </c>
      <c r="K14" s="14" t="s">
        <v>99</v>
      </c>
      <c r="L14" s="20"/>
    </row>
    <row r="15" spans="1:13" ht="31.5" customHeight="1" x14ac:dyDescent="0.25">
      <c r="A15" s="21">
        <f t="shared" ca="1" si="0"/>
        <v>6</v>
      </c>
      <c r="B15" s="11" t="s">
        <v>39</v>
      </c>
      <c r="C15" s="9" t="s">
        <v>76</v>
      </c>
      <c r="D15" s="41" t="s">
        <v>100</v>
      </c>
      <c r="E15" s="25" t="s">
        <v>101</v>
      </c>
      <c r="F15" s="28" t="s">
        <v>102</v>
      </c>
      <c r="G15" s="29">
        <v>46027</v>
      </c>
      <c r="H15" s="28" t="s">
        <v>27</v>
      </c>
      <c r="I15" s="22" t="s">
        <v>28</v>
      </c>
      <c r="J15" s="11" t="s">
        <v>67</v>
      </c>
      <c r="K15" s="14" t="s">
        <v>103</v>
      </c>
      <c r="L15" s="20"/>
    </row>
    <row r="16" spans="1:13" s="33" customFormat="1" ht="78.75" customHeight="1" x14ac:dyDescent="0.25">
      <c r="A16" s="21">
        <f t="shared" ca="1" si="0"/>
        <v>7</v>
      </c>
      <c r="B16" s="11" t="s">
        <v>39</v>
      </c>
      <c r="C16" s="9" t="s">
        <v>76</v>
      </c>
      <c r="D16" s="41" t="s">
        <v>104</v>
      </c>
      <c r="E16" s="31" t="s">
        <v>104</v>
      </c>
      <c r="F16" s="11"/>
      <c r="G16" s="12"/>
      <c r="H16" s="28" t="s">
        <v>27</v>
      </c>
      <c r="I16" s="22"/>
      <c r="J16" s="11" t="s">
        <v>29</v>
      </c>
      <c r="K16" s="14" t="s">
        <v>47</v>
      </c>
      <c r="L16" s="32"/>
    </row>
    <row r="17" spans="1:12" ht="15.75" hidden="1" customHeight="1" x14ac:dyDescent="0.25">
      <c r="A17" s="21">
        <f t="shared" ca="1" si="0"/>
        <v>8</v>
      </c>
      <c r="B17" s="11" t="s">
        <v>39</v>
      </c>
      <c r="C17" s="9" t="s">
        <v>77</v>
      </c>
      <c r="D17" s="9" t="s">
        <v>105</v>
      </c>
      <c r="E17" s="26" t="s">
        <v>106</v>
      </c>
      <c r="F17" s="11"/>
      <c r="G17" s="12"/>
      <c r="H17" s="28" t="s">
        <v>27</v>
      </c>
      <c r="I17" s="22"/>
      <c r="J17" s="11" t="s">
        <v>73</v>
      </c>
      <c r="K17" s="9"/>
      <c r="L17" s="20"/>
    </row>
    <row r="18" spans="1:12" s="20" customFormat="1" ht="15.75" hidden="1" customHeight="1" x14ac:dyDescent="0.25">
      <c r="A18" s="21">
        <f t="shared" ca="1" si="0"/>
        <v>9</v>
      </c>
      <c r="B18" s="11" t="s">
        <v>39</v>
      </c>
      <c r="C18" s="9" t="s">
        <v>77</v>
      </c>
      <c r="D18" s="9" t="s">
        <v>107</v>
      </c>
      <c r="E18" s="26" t="s">
        <v>108</v>
      </c>
      <c r="F18" s="11"/>
      <c r="G18" s="12"/>
      <c r="H18" s="28" t="s">
        <v>27</v>
      </c>
      <c r="I18" s="12"/>
      <c r="J18" s="11" t="s">
        <v>73</v>
      </c>
      <c r="K18" s="9" t="s">
        <v>52</v>
      </c>
    </row>
    <row r="19" spans="1:12" s="20" customFormat="1" ht="15.75" hidden="1" customHeight="1" x14ac:dyDescent="0.25">
      <c r="A19" s="21">
        <f t="shared" ca="1" si="0"/>
        <v>10</v>
      </c>
      <c r="B19" s="11" t="s">
        <v>39</v>
      </c>
      <c r="C19" s="9" t="s">
        <v>77</v>
      </c>
      <c r="D19" s="9" t="s">
        <v>109</v>
      </c>
      <c r="E19" s="26" t="s">
        <v>110</v>
      </c>
      <c r="F19" s="11"/>
      <c r="G19" s="12"/>
      <c r="H19" s="28" t="s">
        <v>27</v>
      </c>
      <c r="I19" s="12"/>
      <c r="J19" s="11" t="s">
        <v>73</v>
      </c>
      <c r="K19" s="27" t="s">
        <v>52</v>
      </c>
    </row>
    <row r="20" spans="1:12" ht="15.75" customHeight="1" x14ac:dyDescent="0.25">
      <c r="A20" s="21">
        <f t="shared" ca="1" si="0"/>
        <v>11</v>
      </c>
      <c r="B20" s="11" t="s">
        <v>39</v>
      </c>
      <c r="C20" s="9" t="s">
        <v>76</v>
      </c>
      <c r="D20" s="42" t="s">
        <v>111</v>
      </c>
      <c r="E20" s="26" t="s">
        <v>112</v>
      </c>
      <c r="F20" s="11"/>
      <c r="G20" s="11"/>
      <c r="H20" s="28" t="s">
        <v>27</v>
      </c>
      <c r="I20" s="11"/>
      <c r="J20" s="11" t="s">
        <v>67</v>
      </c>
      <c r="K20" s="9"/>
      <c r="L20" s="20"/>
    </row>
    <row r="21" spans="1:12" ht="47.25" customHeight="1" x14ac:dyDescent="0.25">
      <c r="A21" s="21">
        <f t="shared" ca="1" si="0"/>
        <v>12</v>
      </c>
      <c r="B21" s="34" t="s">
        <v>39</v>
      </c>
      <c r="C21" s="35" t="s">
        <v>76</v>
      </c>
      <c r="D21" s="43" t="s">
        <v>113</v>
      </c>
      <c r="E21" s="38" t="s">
        <v>114</v>
      </c>
      <c r="F21" s="34" t="s">
        <v>115</v>
      </c>
      <c r="G21" s="29">
        <v>46034</v>
      </c>
      <c r="H21" s="36" t="s">
        <v>27</v>
      </c>
      <c r="I21" s="34"/>
      <c r="J21" s="11" t="s">
        <v>29</v>
      </c>
      <c r="K21" s="35" t="s">
        <v>61</v>
      </c>
      <c r="L21" s="20"/>
    </row>
    <row r="22" spans="1:12" ht="31.5" hidden="1" customHeight="1" x14ac:dyDescent="0.25">
      <c r="A22" s="21">
        <f t="shared" ca="1" si="0"/>
        <v>13</v>
      </c>
      <c r="B22" s="11" t="s">
        <v>39</v>
      </c>
      <c r="C22" s="9" t="s">
        <v>68</v>
      </c>
      <c r="D22" s="11" t="s">
        <v>116</v>
      </c>
      <c r="E22" s="9" t="s">
        <v>117</v>
      </c>
      <c r="F22" s="11" t="s">
        <v>118</v>
      </c>
      <c r="G22" s="29">
        <v>46034</v>
      </c>
      <c r="H22" s="37" t="s">
        <v>119</v>
      </c>
      <c r="I22" s="11"/>
      <c r="J22" s="11" t="s">
        <v>73</v>
      </c>
      <c r="K22" s="9"/>
    </row>
    <row r="23" spans="1:12" ht="31.5" customHeight="1" x14ac:dyDescent="0.25">
      <c r="A23" s="21">
        <f t="shared" ca="1" si="0"/>
        <v>14</v>
      </c>
      <c r="B23" s="11" t="s">
        <v>64</v>
      </c>
      <c r="C23" s="9" t="s">
        <v>64</v>
      </c>
      <c r="D23" s="42" t="s">
        <v>120</v>
      </c>
      <c r="E23" s="9" t="s">
        <v>121</v>
      </c>
      <c r="F23" s="9" t="s">
        <v>122</v>
      </c>
      <c r="G23" s="48">
        <v>46034</v>
      </c>
      <c r="H23" s="37" t="s">
        <v>123</v>
      </c>
      <c r="I23" s="11"/>
      <c r="J23" s="11" t="s">
        <v>29</v>
      </c>
      <c r="K23" s="9"/>
      <c r="L23" s="20"/>
    </row>
    <row r="24" spans="1:12" s="17" customFormat="1" ht="31.5" customHeight="1" x14ac:dyDescent="0.25">
      <c r="A24" s="21">
        <f t="shared" ca="1" si="0"/>
        <v>15</v>
      </c>
      <c r="B24" s="11" t="s">
        <v>39</v>
      </c>
      <c r="C24" s="11" t="s">
        <v>76</v>
      </c>
      <c r="D24" s="42" t="s">
        <v>124</v>
      </c>
      <c r="E24" s="11" t="s">
        <v>125</v>
      </c>
      <c r="F24" s="9" t="s">
        <v>122</v>
      </c>
      <c r="G24" s="48">
        <v>46034</v>
      </c>
      <c r="H24" s="9" t="s">
        <v>123</v>
      </c>
      <c r="I24" s="11"/>
      <c r="J24" s="11" t="s">
        <v>29</v>
      </c>
      <c r="K24" s="9" t="s">
        <v>126</v>
      </c>
      <c r="L24" s="20"/>
    </row>
    <row r="25" spans="1:12" s="17" customFormat="1" ht="31.5" hidden="1" customHeight="1" x14ac:dyDescent="0.25">
      <c r="A25" s="21">
        <f t="shared" ca="1" si="0"/>
        <v>16</v>
      </c>
      <c r="B25" s="11" t="s">
        <v>64</v>
      </c>
      <c r="C25" s="9" t="s">
        <v>64</v>
      </c>
      <c r="D25" s="11" t="s">
        <v>128</v>
      </c>
      <c r="E25" s="11" t="s">
        <v>129</v>
      </c>
      <c r="F25" s="11" t="s">
        <v>115</v>
      </c>
      <c r="G25" s="57">
        <v>46048</v>
      </c>
      <c r="H25" s="9" t="s">
        <v>123</v>
      </c>
      <c r="I25" s="11"/>
      <c r="J25" s="11" t="s">
        <v>73</v>
      </c>
      <c r="K25" s="9"/>
      <c r="L25" s="20"/>
    </row>
    <row r="26" spans="1:12" ht="31.5" hidden="1" customHeight="1" x14ac:dyDescent="0.25">
      <c r="A26" s="21">
        <f t="shared" ca="1" si="0"/>
        <v>17</v>
      </c>
      <c r="B26" s="11" t="s">
        <v>64</v>
      </c>
      <c r="C26" s="9" t="s">
        <v>64</v>
      </c>
      <c r="D26" s="11" t="s">
        <v>130</v>
      </c>
      <c r="E26" s="9" t="s">
        <v>131</v>
      </c>
      <c r="F26" s="11" t="s">
        <v>115</v>
      </c>
      <c r="G26" s="57">
        <v>46048</v>
      </c>
      <c r="H26" s="9" t="s">
        <v>123</v>
      </c>
      <c r="I26" s="11"/>
      <c r="J26" s="11" t="s">
        <v>73</v>
      </c>
      <c r="K26" s="9"/>
      <c r="L26" s="20"/>
    </row>
    <row r="27" spans="1:12" s="17" customFormat="1" ht="31.5" hidden="1" customHeight="1" x14ac:dyDescent="0.25">
      <c r="A27" s="21">
        <f t="shared" ca="1" si="0"/>
        <v>18</v>
      </c>
      <c r="B27" s="11" t="s">
        <v>64</v>
      </c>
      <c r="C27" s="9" t="s">
        <v>64</v>
      </c>
      <c r="D27" s="11" t="s">
        <v>132</v>
      </c>
      <c r="E27" s="11" t="s">
        <v>133</v>
      </c>
      <c r="F27" s="11" t="s">
        <v>115</v>
      </c>
      <c r="G27" s="57">
        <v>46048</v>
      </c>
      <c r="H27" s="9" t="s">
        <v>123</v>
      </c>
      <c r="I27" s="11"/>
      <c r="J27" s="11" t="s">
        <v>73</v>
      </c>
      <c r="K27" s="9"/>
      <c r="L27" s="20"/>
    </row>
    <row r="28" spans="1:12" ht="31.5" hidden="1" customHeight="1" x14ac:dyDescent="0.25">
      <c r="A28" s="21">
        <f t="shared" ca="1" si="0"/>
        <v>19</v>
      </c>
      <c r="B28" s="11" t="s">
        <v>39</v>
      </c>
      <c r="C28" s="9" t="s">
        <v>78</v>
      </c>
      <c r="D28" s="11" t="s">
        <v>134</v>
      </c>
      <c r="E28" s="9" t="s">
        <v>135</v>
      </c>
      <c r="F28" s="11" t="s">
        <v>136</v>
      </c>
      <c r="G28" s="57">
        <v>46048</v>
      </c>
      <c r="H28" s="9" t="s">
        <v>27</v>
      </c>
      <c r="I28" s="11"/>
      <c r="J28" s="11" t="s">
        <v>73</v>
      </c>
      <c r="K28" s="9" t="s">
        <v>141</v>
      </c>
      <c r="L28" s="20"/>
    </row>
    <row r="29" spans="1:12" ht="47.25" hidden="1" customHeight="1" x14ac:dyDescent="0.25">
      <c r="A29" s="21">
        <f t="shared" ca="1" si="0"/>
        <v>20</v>
      </c>
      <c r="B29" s="11" t="s">
        <v>64</v>
      </c>
      <c r="C29" s="9" t="s">
        <v>64</v>
      </c>
      <c r="D29" s="11" t="s">
        <v>142</v>
      </c>
      <c r="E29" s="9" t="s">
        <v>143</v>
      </c>
      <c r="F29" s="11" t="s">
        <v>119</v>
      </c>
      <c r="G29" s="57">
        <v>46062</v>
      </c>
      <c r="H29" s="9" t="s">
        <v>27</v>
      </c>
      <c r="I29" s="11"/>
      <c r="J29" s="11" t="s">
        <v>73</v>
      </c>
      <c r="K29" s="9"/>
      <c r="L29" s="20"/>
    </row>
    <row r="30" spans="1:12" ht="31.5" hidden="1" customHeight="1" x14ac:dyDescent="0.25">
      <c r="A30" s="21">
        <f t="shared" ca="1" si="0"/>
        <v>21</v>
      </c>
      <c r="B30" s="11" t="s">
        <v>64</v>
      </c>
      <c r="C30" s="9" t="s">
        <v>64</v>
      </c>
      <c r="D30" s="11" t="s">
        <v>144</v>
      </c>
      <c r="E30" s="9" t="s">
        <v>145</v>
      </c>
      <c r="F30" s="11" t="s">
        <v>119</v>
      </c>
      <c r="G30" s="57">
        <v>46062</v>
      </c>
      <c r="H30" s="9" t="s">
        <v>27</v>
      </c>
      <c r="I30" s="11"/>
      <c r="J30" s="11" t="s">
        <v>73</v>
      </c>
      <c r="K30" s="9"/>
      <c r="L30" s="20"/>
    </row>
    <row r="31" spans="1:12" ht="31.5" customHeight="1" x14ac:dyDescent="0.25">
      <c r="A31" s="21">
        <f t="shared" ca="1" si="0"/>
        <v>22</v>
      </c>
      <c r="B31" s="11" t="s">
        <v>64</v>
      </c>
      <c r="C31" s="9" t="s">
        <v>64</v>
      </c>
      <c r="D31" s="11" t="s">
        <v>146</v>
      </c>
      <c r="E31" s="9" t="s">
        <v>147</v>
      </c>
      <c r="F31" s="11" t="s">
        <v>148</v>
      </c>
      <c r="G31" s="57">
        <v>46062</v>
      </c>
      <c r="H31" s="9" t="s">
        <v>123</v>
      </c>
      <c r="I31" s="11"/>
      <c r="J31" s="11" t="s">
        <v>29</v>
      </c>
      <c r="K31" s="9"/>
      <c r="L31" s="20"/>
    </row>
    <row r="32" spans="1:12" ht="47.25" customHeight="1" x14ac:dyDescent="0.25">
      <c r="A32" s="21">
        <f t="shared" ca="1" si="0"/>
        <v>23</v>
      </c>
      <c r="B32" s="11" t="s">
        <v>39</v>
      </c>
      <c r="C32" s="9" t="s">
        <v>76</v>
      </c>
      <c r="D32" s="11" t="s">
        <v>149</v>
      </c>
      <c r="E32" s="9" t="s">
        <v>150</v>
      </c>
      <c r="F32" s="11" t="s">
        <v>151</v>
      </c>
      <c r="G32" s="57">
        <v>46062</v>
      </c>
      <c r="H32" s="9" t="s">
        <v>27</v>
      </c>
      <c r="I32" s="11"/>
      <c r="J32" s="11" t="s">
        <v>29</v>
      </c>
      <c r="K32" s="9" t="s">
        <v>152</v>
      </c>
      <c r="L32" s="20"/>
    </row>
    <row r="33" spans="1:11" ht="47.25" customHeight="1" x14ac:dyDescent="0.25">
      <c r="A33" s="21">
        <f t="shared" ca="1" si="0"/>
        <v>24</v>
      </c>
      <c r="B33" s="11" t="s">
        <v>39</v>
      </c>
      <c r="C33" s="9" t="s">
        <v>76</v>
      </c>
      <c r="D33" s="11" t="s">
        <v>153</v>
      </c>
      <c r="E33" s="9" t="s">
        <v>154</v>
      </c>
      <c r="F33" s="11" t="s">
        <v>148</v>
      </c>
      <c r="G33" s="57">
        <v>46062</v>
      </c>
      <c r="H33" s="9" t="s">
        <v>27</v>
      </c>
      <c r="I33" s="59"/>
      <c r="J33" s="11" t="s">
        <v>29</v>
      </c>
      <c r="K33" s="9" t="s">
        <v>155</v>
      </c>
    </row>
    <row r="34" spans="1:11" ht="15.75" customHeight="1" x14ac:dyDescent="0.25">
      <c r="A34" s="21">
        <f t="shared" ca="1" si="0"/>
        <v>25</v>
      </c>
      <c r="B34" s="11" t="s">
        <v>39</v>
      </c>
      <c r="C34" s="9" t="s">
        <v>76</v>
      </c>
      <c r="D34" s="11" t="s">
        <v>149</v>
      </c>
      <c r="E34" s="9" t="s">
        <v>156</v>
      </c>
      <c r="F34" s="11" t="s">
        <v>157</v>
      </c>
      <c r="G34" s="57">
        <v>46062</v>
      </c>
      <c r="H34" s="9" t="s">
        <v>27</v>
      </c>
      <c r="I34" s="59"/>
      <c r="J34" s="11" t="s">
        <v>29</v>
      </c>
      <c r="K34" s="9" t="s">
        <v>152</v>
      </c>
    </row>
    <row r="35" spans="1:11" ht="47.25" customHeight="1" x14ac:dyDescent="0.25">
      <c r="A35" s="21">
        <f t="shared" ca="1" si="0"/>
        <v>26</v>
      </c>
      <c r="B35" s="11" t="s">
        <v>64</v>
      </c>
      <c r="C35" s="9" t="s">
        <v>76</v>
      </c>
      <c r="D35" s="11" t="s">
        <v>120</v>
      </c>
      <c r="E35" s="9" t="s">
        <v>158</v>
      </c>
      <c r="F35" s="11" t="s">
        <v>148</v>
      </c>
      <c r="G35" s="57">
        <v>46062</v>
      </c>
      <c r="H35" s="9" t="s">
        <v>123</v>
      </c>
      <c r="I35" s="59"/>
      <c r="J35" s="11" t="s">
        <v>73</v>
      </c>
      <c r="K35" s="59"/>
    </row>
    <row r="36" spans="1:11" ht="31.5" hidden="1" customHeight="1" x14ac:dyDescent="0.25">
      <c r="A36" s="21">
        <f t="shared" ca="1" si="0"/>
        <v>27</v>
      </c>
      <c r="B36" s="11" t="s">
        <v>39</v>
      </c>
      <c r="C36" s="9" t="s">
        <v>64</v>
      </c>
      <c r="D36" s="11" t="s">
        <v>159</v>
      </c>
      <c r="E36" s="9" t="s">
        <v>160</v>
      </c>
      <c r="F36" s="11" t="s">
        <v>148</v>
      </c>
      <c r="G36" s="57">
        <v>46062</v>
      </c>
      <c r="H36" s="9" t="s">
        <v>27</v>
      </c>
      <c r="I36" s="59"/>
      <c r="J36" s="11" t="s">
        <v>73</v>
      </c>
      <c r="K36" s="59"/>
    </row>
    <row r="37" spans="1:11" ht="15.75" customHeight="1" x14ac:dyDescent="0.25">
      <c r="A37" s="21">
        <f t="shared" ca="1" si="0"/>
        <v>28</v>
      </c>
      <c r="B37" s="11" t="s">
        <v>39</v>
      </c>
      <c r="C37" s="9" t="s">
        <v>76</v>
      </c>
      <c r="D37" s="11" t="s">
        <v>161</v>
      </c>
      <c r="E37" s="9" t="s">
        <v>162</v>
      </c>
      <c r="F37" s="11" t="s">
        <v>148</v>
      </c>
      <c r="G37" s="61">
        <v>46062</v>
      </c>
      <c r="H37" s="9" t="s">
        <v>27</v>
      </c>
      <c r="I37" s="59"/>
      <c r="J37" s="11" t="s">
        <v>29</v>
      </c>
      <c r="K37" s="59"/>
    </row>
    <row r="38" spans="1:11" ht="15.75" customHeight="1" x14ac:dyDescent="0.25">
      <c r="C38" s="60"/>
    </row>
  </sheetData>
  <autoFilter ref="A9:K37" xr:uid="{00000000-0009-0000-0000-000003000000}">
    <filterColumn colId="9">
      <filters>
        <filter val="In Progress"/>
        <filter val="Open"/>
      </filters>
    </filterColumn>
  </autoFilter>
  <mergeCells count="9">
    <mergeCell ref="A7:E7"/>
    <mergeCell ref="C5:D5"/>
    <mergeCell ref="C3:D3"/>
    <mergeCell ref="A1:K1"/>
    <mergeCell ref="C4:D4"/>
    <mergeCell ref="F6:H6"/>
    <mergeCell ref="C6:D6"/>
    <mergeCell ref="C2:D2"/>
    <mergeCell ref="J6:K6"/>
  </mergeCells>
  <conditionalFormatting sqref="F4">
    <cfRule type="containsText" dxfId="11" priority="1" operator="containsText" text="In Progress">
      <formula>NOT(ISERROR(SEARCH("In Progress",F4)))</formula>
    </cfRule>
    <cfRule type="containsText" dxfId="10" priority="2" operator="containsText" text="Open">
      <formula>NOT(ISERROR(SEARCH("Open",F4)))</formula>
    </cfRule>
  </conditionalFormatting>
  <conditionalFormatting sqref="J1:J3 J5 J7:J37">
    <cfRule type="containsText" dxfId="9" priority="3" operator="containsText" text="In Progress">
      <formula>NOT(ISERROR(SEARCH("In Progress",J1)))</formula>
    </cfRule>
    <cfRule type="containsText" dxfId="8" priority="4" operator="containsText" text="Open">
      <formula>NOT(ISERROR(SEARCH("Open",J1)))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M45"/>
  <sheetViews>
    <sheetView topLeftCell="A34" zoomScale="87" workbookViewId="0">
      <selection activeCell="E41" sqref="E41"/>
    </sheetView>
  </sheetViews>
  <sheetFormatPr defaultRowHeight="15" x14ac:dyDescent="0.25"/>
  <cols>
    <col min="1" max="1" width="6.5703125" customWidth="1"/>
    <col min="2" max="2" width="13.5703125" customWidth="1"/>
    <col min="3" max="3" width="15.42578125" customWidth="1"/>
    <col min="4" max="4" width="34.5703125" customWidth="1"/>
    <col min="5" max="5" width="80.5703125" customWidth="1"/>
    <col min="6" max="6" width="15.28515625" bestFit="1" customWidth="1"/>
    <col min="7" max="7" width="15.85546875" bestFit="1" customWidth="1"/>
    <col min="8" max="8" width="9" bestFit="1" customWidth="1"/>
    <col min="9" max="9" width="13.140625" bestFit="1" customWidth="1"/>
    <col min="10" max="10" width="11.85546875" bestFit="1" customWidth="1"/>
    <col min="11" max="11" width="75.28515625" customWidth="1"/>
  </cols>
  <sheetData>
    <row r="1" spans="1:13" ht="21" customHeight="1" x14ac:dyDescent="0.25">
      <c r="A1" s="77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20"/>
    </row>
    <row r="2" spans="1:13" ht="15.75" customHeight="1" x14ac:dyDescent="0.25">
      <c r="A2" s="18"/>
      <c r="B2" s="18"/>
      <c r="C2" s="76" t="s">
        <v>1</v>
      </c>
      <c r="D2" s="74"/>
      <c r="E2" s="1" t="s">
        <v>137</v>
      </c>
      <c r="F2" s="1"/>
      <c r="G2" s="1"/>
      <c r="H2" s="1"/>
      <c r="I2" s="1"/>
      <c r="J2" s="1"/>
      <c r="K2" s="1"/>
      <c r="L2" s="20"/>
    </row>
    <row r="3" spans="1:13" ht="22.5" customHeight="1" x14ac:dyDescent="0.25">
      <c r="A3" s="18"/>
      <c r="B3" s="18"/>
      <c r="C3" s="76" t="s">
        <v>3</v>
      </c>
      <c r="D3" s="74"/>
      <c r="E3" s="1" t="s">
        <v>4</v>
      </c>
      <c r="F3" s="1"/>
      <c r="G3" s="1"/>
      <c r="H3" s="1"/>
      <c r="I3" s="1"/>
      <c r="J3" s="1"/>
      <c r="K3" s="1"/>
      <c r="L3" s="20"/>
    </row>
    <row r="4" spans="1:13" ht="24" customHeight="1" x14ac:dyDescent="0.25">
      <c r="A4" s="18"/>
      <c r="B4" s="18"/>
      <c r="C4" s="76" t="s">
        <v>5</v>
      </c>
      <c r="D4" s="74"/>
      <c r="E4" s="4">
        <f t="array" aca="1" ref="E4" ca="1">VALUE(MID(CELL("filename", A1), FIND("]", CELL("filename", A1)) + 1, 15))</f>
        <v>46090</v>
      </c>
      <c r="F4" s="3" t="s">
        <v>6</v>
      </c>
      <c r="G4" s="7">
        <v>0.5625</v>
      </c>
      <c r="H4" s="3" t="s">
        <v>7</v>
      </c>
      <c r="I4" s="7">
        <v>0.64583333333333337</v>
      </c>
      <c r="J4" s="15"/>
      <c r="K4" s="6"/>
      <c r="L4" s="20"/>
    </row>
    <row r="5" spans="1:13" ht="24" customHeight="1" x14ac:dyDescent="0.25">
      <c r="A5" s="18"/>
      <c r="B5" s="18"/>
      <c r="C5" s="76" t="s">
        <v>8</v>
      </c>
      <c r="D5" s="74"/>
      <c r="E5" s="1" t="s">
        <v>9</v>
      </c>
      <c r="F5" s="1"/>
      <c r="G5" s="7"/>
      <c r="H5" s="1"/>
      <c r="I5" s="7"/>
      <c r="J5" s="1"/>
      <c r="K5" s="1"/>
      <c r="L5" s="20"/>
    </row>
    <row r="6" spans="1:13" ht="151.5" customHeight="1" x14ac:dyDescent="0.25">
      <c r="A6" s="19"/>
      <c r="B6" s="19"/>
      <c r="C6" s="80" t="s">
        <v>10</v>
      </c>
      <c r="D6" s="79"/>
      <c r="E6" s="23" t="s">
        <v>138</v>
      </c>
      <c r="F6" s="78" t="s">
        <v>139</v>
      </c>
      <c r="G6" s="79"/>
      <c r="H6" s="79"/>
      <c r="I6" s="23"/>
      <c r="J6" s="81"/>
      <c r="K6" s="74"/>
      <c r="L6" s="20"/>
      <c r="M6" s="5"/>
    </row>
    <row r="7" spans="1:13" ht="15.75" customHeight="1" x14ac:dyDescent="0.25">
      <c r="A7" s="73" t="s">
        <v>11</v>
      </c>
      <c r="B7" s="74"/>
      <c r="C7" s="74"/>
      <c r="D7" s="74"/>
      <c r="E7" s="74"/>
      <c r="H7" s="5"/>
      <c r="K7" s="5"/>
      <c r="L7" s="20"/>
    </row>
    <row r="8" spans="1:13" ht="15.75" customHeight="1" x14ac:dyDescent="0.25">
      <c r="A8" s="1"/>
      <c r="B8" s="1"/>
      <c r="C8" s="1"/>
      <c r="D8" s="1"/>
      <c r="E8" s="1"/>
      <c r="H8" s="5"/>
      <c r="K8" s="5"/>
      <c r="L8" s="20"/>
    </row>
    <row r="9" spans="1:13" ht="33" customHeight="1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0" t="s">
        <v>22</v>
      </c>
      <c r="L9" s="20"/>
    </row>
    <row r="10" spans="1:13" ht="63" customHeight="1" x14ac:dyDescent="0.25">
      <c r="A10" s="21">
        <f t="shared" ref="A10:A37" ca="1" si="0">IF(B10="","",MAX(OFFSET($A$1,0,0,ROW()-1,1))+1)</f>
        <v>1</v>
      </c>
      <c r="B10" s="11" t="s">
        <v>64</v>
      </c>
      <c r="C10" s="9" t="s">
        <v>76</v>
      </c>
      <c r="D10" s="41" t="s">
        <v>82</v>
      </c>
      <c r="E10" s="24" t="s">
        <v>83</v>
      </c>
      <c r="F10" s="28" t="s">
        <v>84</v>
      </c>
      <c r="G10" s="29">
        <v>46027</v>
      </c>
      <c r="H10" s="28" t="s">
        <v>27</v>
      </c>
      <c r="I10" s="22" t="s">
        <v>28</v>
      </c>
      <c r="J10" s="11" t="s">
        <v>67</v>
      </c>
      <c r="K10" s="14" t="s">
        <v>140</v>
      </c>
      <c r="L10" s="20"/>
    </row>
    <row r="11" spans="1:13" ht="110.25" hidden="1" customHeight="1" x14ac:dyDescent="0.25">
      <c r="A11" s="21">
        <f t="shared" ca="1" si="0"/>
        <v>2</v>
      </c>
      <c r="B11" s="11" t="s">
        <v>39</v>
      </c>
      <c r="C11" s="9" t="s">
        <v>72</v>
      </c>
      <c r="D11" s="9" t="s">
        <v>86</v>
      </c>
      <c r="E11" s="24" t="s">
        <v>87</v>
      </c>
      <c r="F11" s="30" t="s">
        <v>88</v>
      </c>
      <c r="G11" s="29">
        <v>46027</v>
      </c>
      <c r="H11" s="28" t="s">
        <v>27</v>
      </c>
      <c r="I11" s="22" t="s">
        <v>28</v>
      </c>
      <c r="J11" s="11" t="s">
        <v>73</v>
      </c>
      <c r="K11" s="14" t="s">
        <v>33</v>
      </c>
      <c r="L11" s="20"/>
    </row>
    <row r="12" spans="1:13" ht="47.25" hidden="1" customHeight="1" x14ac:dyDescent="0.25">
      <c r="A12" s="21">
        <f t="shared" ca="1" si="0"/>
        <v>3</v>
      </c>
      <c r="B12" s="11" t="s">
        <v>39</v>
      </c>
      <c r="C12" s="9" t="s">
        <v>72</v>
      </c>
      <c r="D12" s="9" t="s">
        <v>90</v>
      </c>
      <c r="E12" s="24" t="s">
        <v>91</v>
      </c>
      <c r="F12" s="28" t="s">
        <v>92</v>
      </c>
      <c r="G12" s="29">
        <v>46027</v>
      </c>
      <c r="H12" s="28" t="s">
        <v>27</v>
      </c>
      <c r="I12" s="22" t="s">
        <v>28</v>
      </c>
      <c r="J12" s="11" t="s">
        <v>73</v>
      </c>
      <c r="K12" s="14" t="s">
        <v>33</v>
      </c>
      <c r="L12" s="20"/>
    </row>
    <row r="13" spans="1:13" ht="94.5" customHeight="1" x14ac:dyDescent="0.25">
      <c r="A13" s="21">
        <f t="shared" ca="1" si="0"/>
        <v>4</v>
      </c>
      <c r="B13" s="11" t="s">
        <v>39</v>
      </c>
      <c r="C13" s="9" t="s">
        <v>76</v>
      </c>
      <c r="D13" s="41" t="s">
        <v>93</v>
      </c>
      <c r="E13" s="24" t="s">
        <v>94</v>
      </c>
      <c r="F13" s="28" t="s">
        <v>95</v>
      </c>
      <c r="G13" s="29">
        <v>46027</v>
      </c>
      <c r="H13" s="28" t="s">
        <v>27</v>
      </c>
      <c r="I13" s="22" t="s">
        <v>28</v>
      </c>
      <c r="J13" s="11" t="s">
        <v>67</v>
      </c>
      <c r="K13" s="24" t="s">
        <v>96</v>
      </c>
      <c r="L13" s="20"/>
    </row>
    <row r="14" spans="1:13" ht="141.75" customHeight="1" x14ac:dyDescent="0.25">
      <c r="A14" s="21">
        <f t="shared" ca="1" si="0"/>
        <v>5</v>
      </c>
      <c r="B14" s="11" t="s">
        <v>39</v>
      </c>
      <c r="C14" s="9" t="s">
        <v>76</v>
      </c>
      <c r="D14" s="41" t="s">
        <v>97</v>
      </c>
      <c r="E14" s="24" t="s">
        <v>98</v>
      </c>
      <c r="F14" s="28" t="s">
        <v>92</v>
      </c>
      <c r="G14" s="29">
        <v>46027</v>
      </c>
      <c r="H14" s="28" t="s">
        <v>27</v>
      </c>
      <c r="I14" s="22" t="s">
        <v>28</v>
      </c>
      <c r="J14" s="11" t="s">
        <v>29</v>
      </c>
      <c r="K14" s="14" t="s">
        <v>99</v>
      </c>
      <c r="L14" s="20"/>
    </row>
    <row r="15" spans="1:13" ht="31.5" customHeight="1" x14ac:dyDescent="0.25">
      <c r="A15" s="21">
        <f t="shared" ca="1" si="0"/>
        <v>6</v>
      </c>
      <c r="B15" s="11" t="s">
        <v>39</v>
      </c>
      <c r="C15" s="9" t="s">
        <v>76</v>
      </c>
      <c r="D15" s="41" t="s">
        <v>100</v>
      </c>
      <c r="E15" s="25" t="s">
        <v>101</v>
      </c>
      <c r="F15" s="28" t="s">
        <v>102</v>
      </c>
      <c r="G15" s="29">
        <v>46027</v>
      </c>
      <c r="H15" s="28" t="s">
        <v>27</v>
      </c>
      <c r="I15" s="22" t="s">
        <v>28</v>
      </c>
      <c r="J15" s="11" t="s">
        <v>67</v>
      </c>
      <c r="K15" s="14" t="s">
        <v>103</v>
      </c>
      <c r="L15" s="20"/>
    </row>
    <row r="16" spans="1:13" s="33" customFormat="1" ht="78.75" customHeight="1" x14ac:dyDescent="0.25">
      <c r="A16" s="21">
        <f t="shared" ca="1" si="0"/>
        <v>7</v>
      </c>
      <c r="B16" s="11" t="s">
        <v>39</v>
      </c>
      <c r="C16" s="9" t="s">
        <v>76</v>
      </c>
      <c r="D16" s="41" t="s">
        <v>104</v>
      </c>
      <c r="E16" s="31" t="s">
        <v>104</v>
      </c>
      <c r="F16" s="11"/>
      <c r="G16" s="12"/>
      <c r="H16" s="28" t="s">
        <v>27</v>
      </c>
      <c r="I16" s="22"/>
      <c r="J16" s="11" t="s">
        <v>29</v>
      </c>
      <c r="K16" s="14" t="s">
        <v>47</v>
      </c>
      <c r="L16" s="32"/>
    </row>
    <row r="17" spans="1:12" ht="15.75" hidden="1" customHeight="1" x14ac:dyDescent="0.25">
      <c r="A17" s="21">
        <f t="shared" ca="1" si="0"/>
        <v>8</v>
      </c>
      <c r="B17" s="11" t="s">
        <v>39</v>
      </c>
      <c r="C17" s="9" t="s">
        <v>77</v>
      </c>
      <c r="D17" s="9" t="s">
        <v>105</v>
      </c>
      <c r="E17" s="26" t="s">
        <v>106</v>
      </c>
      <c r="F17" s="11"/>
      <c r="G17" s="12"/>
      <c r="H17" s="28" t="s">
        <v>27</v>
      </c>
      <c r="I17" s="22"/>
      <c r="J17" s="11" t="s">
        <v>73</v>
      </c>
      <c r="K17" s="9"/>
      <c r="L17" s="20"/>
    </row>
    <row r="18" spans="1:12" s="20" customFormat="1" ht="15.75" hidden="1" customHeight="1" x14ac:dyDescent="0.25">
      <c r="A18" s="21">
        <f t="shared" ca="1" si="0"/>
        <v>9</v>
      </c>
      <c r="B18" s="11" t="s">
        <v>39</v>
      </c>
      <c r="C18" s="9" t="s">
        <v>77</v>
      </c>
      <c r="D18" s="9" t="s">
        <v>107</v>
      </c>
      <c r="E18" s="26" t="s">
        <v>108</v>
      </c>
      <c r="F18" s="11"/>
      <c r="G18" s="12"/>
      <c r="H18" s="28" t="s">
        <v>27</v>
      </c>
      <c r="I18" s="12"/>
      <c r="J18" s="11" t="s">
        <v>73</v>
      </c>
      <c r="K18" s="9" t="s">
        <v>52</v>
      </c>
    </row>
    <row r="19" spans="1:12" s="20" customFormat="1" ht="15.75" hidden="1" customHeight="1" x14ac:dyDescent="0.25">
      <c r="A19" s="21">
        <f t="shared" ca="1" si="0"/>
        <v>10</v>
      </c>
      <c r="B19" s="11" t="s">
        <v>39</v>
      </c>
      <c r="C19" s="9" t="s">
        <v>77</v>
      </c>
      <c r="D19" s="9" t="s">
        <v>109</v>
      </c>
      <c r="E19" s="26" t="s">
        <v>110</v>
      </c>
      <c r="F19" s="11"/>
      <c r="G19" s="12"/>
      <c r="H19" s="28" t="s">
        <v>27</v>
      </c>
      <c r="I19" s="12"/>
      <c r="J19" s="11" t="s">
        <v>73</v>
      </c>
      <c r="K19" s="27" t="s">
        <v>52</v>
      </c>
    </row>
    <row r="20" spans="1:12" ht="15.75" customHeight="1" x14ac:dyDescent="0.25">
      <c r="A20" s="21">
        <f t="shared" ca="1" si="0"/>
        <v>11</v>
      </c>
      <c r="B20" s="11" t="s">
        <v>39</v>
      </c>
      <c r="C20" s="9" t="s">
        <v>76</v>
      </c>
      <c r="D20" s="42" t="s">
        <v>111</v>
      </c>
      <c r="E20" s="26" t="s">
        <v>112</v>
      </c>
      <c r="F20" s="11"/>
      <c r="G20" s="11"/>
      <c r="H20" s="28" t="s">
        <v>27</v>
      </c>
      <c r="I20" s="11"/>
      <c r="J20" s="11" t="s">
        <v>67</v>
      </c>
      <c r="K20" s="9"/>
      <c r="L20" s="20"/>
    </row>
    <row r="21" spans="1:12" ht="47.25" customHeight="1" x14ac:dyDescent="0.25">
      <c r="A21" s="21">
        <f t="shared" ca="1" si="0"/>
        <v>12</v>
      </c>
      <c r="B21" s="34" t="s">
        <v>39</v>
      </c>
      <c r="C21" s="35" t="s">
        <v>76</v>
      </c>
      <c r="D21" s="43" t="s">
        <v>113</v>
      </c>
      <c r="E21" s="38" t="s">
        <v>114</v>
      </c>
      <c r="F21" s="34" t="s">
        <v>115</v>
      </c>
      <c r="G21" s="29">
        <v>46034</v>
      </c>
      <c r="H21" s="36" t="s">
        <v>27</v>
      </c>
      <c r="I21" s="34"/>
      <c r="J21" s="11" t="s">
        <v>29</v>
      </c>
      <c r="K21" s="35" t="s">
        <v>61</v>
      </c>
      <c r="L21" s="20"/>
    </row>
    <row r="22" spans="1:12" ht="31.5" hidden="1" customHeight="1" x14ac:dyDescent="0.25">
      <c r="A22" s="21">
        <f t="shared" ca="1" si="0"/>
        <v>13</v>
      </c>
      <c r="B22" s="11" t="s">
        <v>39</v>
      </c>
      <c r="C22" s="9" t="s">
        <v>68</v>
      </c>
      <c r="D22" s="11" t="s">
        <v>116</v>
      </c>
      <c r="E22" s="9" t="s">
        <v>117</v>
      </c>
      <c r="F22" s="11" t="s">
        <v>118</v>
      </c>
      <c r="G22" s="29">
        <v>46034</v>
      </c>
      <c r="H22" s="37" t="s">
        <v>119</v>
      </c>
      <c r="I22" s="11"/>
      <c r="J22" s="11" t="s">
        <v>73</v>
      </c>
      <c r="K22" s="9"/>
    </row>
    <row r="23" spans="1:12" ht="31.5" customHeight="1" x14ac:dyDescent="0.25">
      <c r="A23" s="21">
        <f t="shared" ca="1" si="0"/>
        <v>14</v>
      </c>
      <c r="B23" s="11" t="s">
        <v>64</v>
      </c>
      <c r="C23" s="9" t="s">
        <v>64</v>
      </c>
      <c r="D23" s="42" t="s">
        <v>120</v>
      </c>
      <c r="E23" s="9" t="s">
        <v>121</v>
      </c>
      <c r="F23" s="9" t="s">
        <v>122</v>
      </c>
      <c r="G23" s="48">
        <v>46034</v>
      </c>
      <c r="H23" s="37" t="s">
        <v>123</v>
      </c>
      <c r="I23" s="11"/>
      <c r="J23" s="11" t="s">
        <v>29</v>
      </c>
      <c r="K23" s="9"/>
      <c r="L23" s="20"/>
    </row>
    <row r="24" spans="1:12" s="17" customFormat="1" ht="31.5" customHeight="1" x14ac:dyDescent="0.25">
      <c r="A24" s="21">
        <f t="shared" ca="1" si="0"/>
        <v>15</v>
      </c>
      <c r="B24" s="11" t="s">
        <v>39</v>
      </c>
      <c r="C24" s="11" t="s">
        <v>76</v>
      </c>
      <c r="D24" s="42" t="s">
        <v>124</v>
      </c>
      <c r="E24" s="11" t="s">
        <v>125</v>
      </c>
      <c r="F24" s="9" t="s">
        <v>122</v>
      </c>
      <c r="G24" s="48">
        <v>46034</v>
      </c>
      <c r="H24" s="9" t="s">
        <v>123</v>
      </c>
      <c r="I24" s="11"/>
      <c r="J24" s="11" t="s">
        <v>29</v>
      </c>
      <c r="K24" s="9" t="s">
        <v>126</v>
      </c>
      <c r="L24" s="20"/>
    </row>
    <row r="25" spans="1:12" s="17" customFormat="1" ht="31.5" hidden="1" customHeight="1" x14ac:dyDescent="0.25">
      <c r="A25" s="21">
        <f t="shared" ca="1" si="0"/>
        <v>16</v>
      </c>
      <c r="B25" s="11" t="s">
        <v>64</v>
      </c>
      <c r="C25" s="9" t="s">
        <v>64</v>
      </c>
      <c r="D25" s="11" t="s">
        <v>128</v>
      </c>
      <c r="E25" s="11" t="s">
        <v>129</v>
      </c>
      <c r="F25" s="11" t="s">
        <v>115</v>
      </c>
      <c r="G25" s="57">
        <v>46048</v>
      </c>
      <c r="H25" s="9" t="s">
        <v>123</v>
      </c>
      <c r="I25" s="11"/>
      <c r="J25" s="11" t="s">
        <v>73</v>
      </c>
      <c r="K25" s="9"/>
      <c r="L25" s="20"/>
    </row>
    <row r="26" spans="1:12" ht="31.5" hidden="1" customHeight="1" x14ac:dyDescent="0.25">
      <c r="A26" s="21">
        <f t="shared" ca="1" si="0"/>
        <v>17</v>
      </c>
      <c r="B26" s="11" t="s">
        <v>64</v>
      </c>
      <c r="C26" s="9" t="s">
        <v>64</v>
      </c>
      <c r="D26" s="11" t="s">
        <v>130</v>
      </c>
      <c r="E26" s="9" t="s">
        <v>131</v>
      </c>
      <c r="F26" s="11" t="s">
        <v>115</v>
      </c>
      <c r="G26" s="57">
        <v>46048</v>
      </c>
      <c r="H26" s="9" t="s">
        <v>123</v>
      </c>
      <c r="I26" s="11"/>
      <c r="J26" s="11" t="s">
        <v>73</v>
      </c>
      <c r="K26" s="9"/>
      <c r="L26" s="20"/>
    </row>
    <row r="27" spans="1:12" s="17" customFormat="1" ht="31.5" hidden="1" customHeight="1" x14ac:dyDescent="0.25">
      <c r="A27" s="21">
        <f t="shared" ca="1" si="0"/>
        <v>18</v>
      </c>
      <c r="B27" s="11" t="s">
        <v>64</v>
      </c>
      <c r="C27" s="9" t="s">
        <v>64</v>
      </c>
      <c r="D27" s="11" t="s">
        <v>132</v>
      </c>
      <c r="E27" s="11" t="s">
        <v>133</v>
      </c>
      <c r="F27" s="11" t="s">
        <v>115</v>
      </c>
      <c r="G27" s="57">
        <v>46048</v>
      </c>
      <c r="H27" s="9" t="s">
        <v>123</v>
      </c>
      <c r="I27" s="11"/>
      <c r="J27" s="11" t="s">
        <v>73</v>
      </c>
      <c r="K27" s="9"/>
      <c r="L27" s="20"/>
    </row>
    <row r="28" spans="1:12" ht="31.5" hidden="1" customHeight="1" x14ac:dyDescent="0.25">
      <c r="A28" s="21">
        <f t="shared" ca="1" si="0"/>
        <v>19</v>
      </c>
      <c r="B28" s="11" t="s">
        <v>39</v>
      </c>
      <c r="C28" s="9" t="s">
        <v>78</v>
      </c>
      <c r="D28" s="11" t="s">
        <v>134</v>
      </c>
      <c r="E28" s="9" t="s">
        <v>135</v>
      </c>
      <c r="F28" s="11" t="s">
        <v>136</v>
      </c>
      <c r="G28" s="57">
        <v>46048</v>
      </c>
      <c r="H28" s="9" t="s">
        <v>27</v>
      </c>
      <c r="I28" s="11"/>
      <c r="J28" s="11" t="s">
        <v>73</v>
      </c>
      <c r="K28" s="9" t="s">
        <v>141</v>
      </c>
      <c r="L28" s="20"/>
    </row>
    <row r="29" spans="1:12" ht="47.25" hidden="1" customHeight="1" x14ac:dyDescent="0.25">
      <c r="A29" s="21">
        <f t="shared" ca="1" si="0"/>
        <v>20</v>
      </c>
      <c r="B29" s="11" t="s">
        <v>64</v>
      </c>
      <c r="C29" s="9" t="s">
        <v>64</v>
      </c>
      <c r="D29" s="11" t="s">
        <v>142</v>
      </c>
      <c r="E29" s="9" t="s">
        <v>143</v>
      </c>
      <c r="F29" s="11" t="s">
        <v>119</v>
      </c>
      <c r="G29" s="57">
        <v>46062</v>
      </c>
      <c r="H29" s="9" t="s">
        <v>27</v>
      </c>
      <c r="I29" s="11"/>
      <c r="J29" s="11" t="s">
        <v>73</v>
      </c>
      <c r="K29" s="9"/>
      <c r="L29" s="20"/>
    </row>
    <row r="30" spans="1:12" ht="31.5" hidden="1" customHeight="1" x14ac:dyDescent="0.25">
      <c r="A30" s="21">
        <f t="shared" ca="1" si="0"/>
        <v>21</v>
      </c>
      <c r="B30" s="11" t="s">
        <v>64</v>
      </c>
      <c r="C30" s="9" t="s">
        <v>64</v>
      </c>
      <c r="D30" s="11" t="s">
        <v>144</v>
      </c>
      <c r="E30" s="9" t="s">
        <v>145</v>
      </c>
      <c r="F30" s="11" t="s">
        <v>119</v>
      </c>
      <c r="G30" s="57">
        <v>46062</v>
      </c>
      <c r="H30" s="9" t="s">
        <v>27</v>
      </c>
      <c r="I30" s="11"/>
      <c r="J30" s="11" t="s">
        <v>73</v>
      </c>
      <c r="K30" s="9"/>
      <c r="L30" s="20"/>
    </row>
    <row r="31" spans="1:12" ht="31.5" customHeight="1" x14ac:dyDescent="0.25">
      <c r="A31" s="21">
        <f t="shared" ca="1" si="0"/>
        <v>22</v>
      </c>
      <c r="B31" s="11" t="s">
        <v>64</v>
      </c>
      <c r="C31" s="9" t="s">
        <v>64</v>
      </c>
      <c r="D31" s="11" t="s">
        <v>146</v>
      </c>
      <c r="E31" s="9" t="s">
        <v>147</v>
      </c>
      <c r="F31" s="11" t="s">
        <v>148</v>
      </c>
      <c r="G31" s="57">
        <v>46062</v>
      </c>
      <c r="H31" s="9" t="s">
        <v>123</v>
      </c>
      <c r="I31" s="11"/>
      <c r="J31" s="11" t="s">
        <v>29</v>
      </c>
      <c r="K31" s="9"/>
      <c r="L31" s="20"/>
    </row>
    <row r="32" spans="1:12" ht="47.25" customHeight="1" x14ac:dyDescent="0.25">
      <c r="A32" s="21">
        <f t="shared" ca="1" si="0"/>
        <v>23</v>
      </c>
      <c r="B32" s="11" t="s">
        <v>39</v>
      </c>
      <c r="C32" s="9" t="s">
        <v>76</v>
      </c>
      <c r="D32" s="11" t="s">
        <v>149</v>
      </c>
      <c r="E32" s="9" t="s">
        <v>150</v>
      </c>
      <c r="F32" s="11" t="s">
        <v>151</v>
      </c>
      <c r="G32" s="57">
        <v>46062</v>
      </c>
      <c r="H32" s="9" t="s">
        <v>27</v>
      </c>
      <c r="I32" s="11"/>
      <c r="J32" s="11" t="s">
        <v>29</v>
      </c>
      <c r="K32" s="9" t="s">
        <v>152</v>
      </c>
      <c r="L32" s="20"/>
    </row>
    <row r="33" spans="1:11" ht="47.25" customHeight="1" x14ac:dyDescent="0.25">
      <c r="A33" s="21">
        <f t="shared" ca="1" si="0"/>
        <v>24</v>
      </c>
      <c r="B33" s="11" t="s">
        <v>39</v>
      </c>
      <c r="C33" s="9" t="s">
        <v>76</v>
      </c>
      <c r="D33" s="11" t="s">
        <v>153</v>
      </c>
      <c r="E33" s="9" t="s">
        <v>154</v>
      </c>
      <c r="F33" s="11" t="s">
        <v>148</v>
      </c>
      <c r="G33" s="57">
        <v>46062</v>
      </c>
      <c r="H33" s="9" t="s">
        <v>27</v>
      </c>
      <c r="I33" s="59"/>
      <c r="J33" s="11" t="s">
        <v>29</v>
      </c>
      <c r="K33" s="9" t="s">
        <v>155</v>
      </c>
    </row>
    <row r="34" spans="1:11" ht="15.75" customHeight="1" x14ac:dyDescent="0.25">
      <c r="A34" s="21">
        <f t="shared" ca="1" si="0"/>
        <v>25</v>
      </c>
      <c r="B34" s="11" t="s">
        <v>39</v>
      </c>
      <c r="C34" s="9" t="s">
        <v>76</v>
      </c>
      <c r="D34" s="11" t="s">
        <v>149</v>
      </c>
      <c r="E34" s="9" t="s">
        <v>156</v>
      </c>
      <c r="F34" s="11" t="s">
        <v>157</v>
      </c>
      <c r="G34" s="57">
        <v>46062</v>
      </c>
      <c r="H34" s="9" t="s">
        <v>27</v>
      </c>
      <c r="I34" s="59"/>
      <c r="J34" s="11" t="s">
        <v>29</v>
      </c>
      <c r="K34" s="9" t="s">
        <v>152</v>
      </c>
    </row>
    <row r="35" spans="1:11" ht="47.25" customHeight="1" x14ac:dyDescent="0.25">
      <c r="A35" s="21">
        <f t="shared" ca="1" si="0"/>
        <v>26</v>
      </c>
      <c r="B35" s="11" t="s">
        <v>64</v>
      </c>
      <c r="C35" s="9" t="s">
        <v>76</v>
      </c>
      <c r="D35" s="11" t="s">
        <v>120</v>
      </c>
      <c r="E35" s="9" t="s">
        <v>158</v>
      </c>
      <c r="F35" s="11" t="s">
        <v>148</v>
      </c>
      <c r="G35" s="57">
        <v>46062</v>
      </c>
      <c r="H35" s="9" t="s">
        <v>123</v>
      </c>
      <c r="I35" s="59"/>
      <c r="J35" s="11" t="s">
        <v>73</v>
      </c>
      <c r="K35" s="59"/>
    </row>
    <row r="36" spans="1:11" ht="31.5" hidden="1" customHeight="1" x14ac:dyDescent="0.25">
      <c r="A36" s="21">
        <f t="shared" ca="1" si="0"/>
        <v>27</v>
      </c>
      <c r="B36" s="11" t="s">
        <v>39</v>
      </c>
      <c r="C36" s="9" t="s">
        <v>64</v>
      </c>
      <c r="D36" s="11" t="s">
        <v>159</v>
      </c>
      <c r="E36" s="9" t="s">
        <v>160</v>
      </c>
      <c r="F36" s="11" t="s">
        <v>148</v>
      </c>
      <c r="G36" s="57">
        <v>46062</v>
      </c>
      <c r="H36" s="9" t="s">
        <v>27</v>
      </c>
      <c r="I36" s="59"/>
      <c r="J36" s="11" t="s">
        <v>73</v>
      </c>
      <c r="K36" s="59"/>
    </row>
    <row r="37" spans="1:11" ht="15.75" customHeight="1" x14ac:dyDescent="0.25">
      <c r="A37" s="21">
        <f t="shared" ca="1" si="0"/>
        <v>28</v>
      </c>
      <c r="B37" s="11" t="s">
        <v>39</v>
      </c>
      <c r="C37" s="9" t="s">
        <v>76</v>
      </c>
      <c r="D37" s="11" t="s">
        <v>161</v>
      </c>
      <c r="E37" s="9" t="s">
        <v>162</v>
      </c>
      <c r="F37" s="11" t="s">
        <v>148</v>
      </c>
      <c r="G37" s="61">
        <v>46062</v>
      </c>
      <c r="H37" s="9" t="s">
        <v>27</v>
      </c>
      <c r="I37" s="59"/>
      <c r="J37" s="11" t="s">
        <v>29</v>
      </c>
      <c r="K37" s="59"/>
    </row>
    <row r="38" spans="1:11" ht="47.25" customHeight="1" x14ac:dyDescent="0.25">
      <c r="A38">
        <v>29</v>
      </c>
      <c r="B38" s="11" t="s">
        <v>23</v>
      </c>
      <c r="C38" s="11" t="s">
        <v>163</v>
      </c>
      <c r="D38" s="11" t="s">
        <v>164</v>
      </c>
      <c r="E38" s="62" t="s">
        <v>165</v>
      </c>
      <c r="F38" s="62" t="s">
        <v>166</v>
      </c>
      <c r="G38" s="64">
        <v>46090</v>
      </c>
      <c r="H38" s="62" t="s">
        <v>27</v>
      </c>
      <c r="J38" s="63" t="s">
        <v>29</v>
      </c>
    </row>
    <row r="39" spans="1:11" ht="63" customHeight="1" x14ac:dyDescent="0.25">
      <c r="A39">
        <v>29</v>
      </c>
      <c r="B39" s="11" t="s">
        <v>23</v>
      </c>
      <c r="C39" s="11" t="s">
        <v>163</v>
      </c>
      <c r="D39" s="11" t="s">
        <v>164</v>
      </c>
      <c r="E39" s="62" t="s">
        <v>167</v>
      </c>
      <c r="F39" s="62" t="s">
        <v>166</v>
      </c>
      <c r="G39" s="64">
        <v>46090</v>
      </c>
      <c r="H39" s="62" t="s">
        <v>27</v>
      </c>
      <c r="J39" s="63" t="s">
        <v>29</v>
      </c>
    </row>
    <row r="40" spans="1:11" ht="63" customHeight="1" x14ac:dyDescent="0.25">
      <c r="A40">
        <v>29</v>
      </c>
      <c r="B40" s="11" t="s">
        <v>23</v>
      </c>
      <c r="C40" s="11" t="s">
        <v>163</v>
      </c>
      <c r="D40" s="11" t="s">
        <v>164</v>
      </c>
      <c r="E40" s="62" t="s">
        <v>168</v>
      </c>
      <c r="F40" s="62" t="s">
        <v>166</v>
      </c>
      <c r="G40" s="64">
        <v>46090</v>
      </c>
      <c r="H40" s="62" t="s">
        <v>27</v>
      </c>
      <c r="J40" s="63" t="s">
        <v>29</v>
      </c>
    </row>
    <row r="41" spans="1:11" ht="47.25" customHeight="1" x14ac:dyDescent="0.25">
      <c r="A41">
        <v>29</v>
      </c>
      <c r="B41" s="11" t="s">
        <v>39</v>
      </c>
      <c r="C41" s="11" t="s">
        <v>163</v>
      </c>
      <c r="D41" s="11" t="s">
        <v>164</v>
      </c>
      <c r="E41" s="62" t="s">
        <v>169</v>
      </c>
      <c r="F41" s="62" t="s">
        <v>166</v>
      </c>
      <c r="G41" s="64">
        <v>46090</v>
      </c>
      <c r="H41" s="62" t="s">
        <v>27</v>
      </c>
      <c r="J41" s="63" t="s">
        <v>29</v>
      </c>
    </row>
    <row r="42" spans="1:11" ht="47.25" customHeight="1" x14ac:dyDescent="0.25">
      <c r="A42">
        <v>29</v>
      </c>
      <c r="B42" s="11" t="s">
        <v>23</v>
      </c>
      <c r="C42" s="11" t="s">
        <v>163</v>
      </c>
      <c r="D42" s="11" t="s">
        <v>164</v>
      </c>
      <c r="E42" s="62" t="s">
        <v>170</v>
      </c>
      <c r="F42" s="62" t="s">
        <v>166</v>
      </c>
      <c r="G42" s="64">
        <v>46090</v>
      </c>
      <c r="H42" s="62" t="s">
        <v>27</v>
      </c>
      <c r="J42" s="63" t="s">
        <v>29</v>
      </c>
    </row>
    <row r="43" spans="1:11" ht="47.25" customHeight="1" x14ac:dyDescent="0.25">
      <c r="A43">
        <v>29</v>
      </c>
      <c r="B43" s="11" t="s">
        <v>23</v>
      </c>
      <c r="C43" s="11" t="s">
        <v>163</v>
      </c>
      <c r="D43" s="11" t="s">
        <v>164</v>
      </c>
      <c r="E43" s="62" t="s">
        <v>171</v>
      </c>
      <c r="F43" s="62" t="s">
        <v>166</v>
      </c>
      <c r="G43" s="64">
        <v>46090</v>
      </c>
      <c r="H43" s="62" t="s">
        <v>27</v>
      </c>
      <c r="J43" s="63" t="s">
        <v>29</v>
      </c>
    </row>
    <row r="44" spans="1:11" ht="47.25" customHeight="1" x14ac:dyDescent="0.25">
      <c r="A44">
        <v>29</v>
      </c>
      <c r="B44" s="11" t="s">
        <v>64</v>
      </c>
      <c r="C44" s="11"/>
      <c r="D44" s="11"/>
      <c r="E44" s="62" t="s">
        <v>172</v>
      </c>
      <c r="F44" s="62" t="s">
        <v>166</v>
      </c>
      <c r="G44" s="64">
        <v>46090</v>
      </c>
      <c r="H44" s="62" t="s">
        <v>27</v>
      </c>
      <c r="J44" s="63" t="s">
        <v>73</v>
      </c>
    </row>
    <row r="45" spans="1:11" ht="47.25" customHeight="1" x14ac:dyDescent="0.25">
      <c r="A45">
        <v>29</v>
      </c>
      <c r="B45" s="11" t="s">
        <v>64</v>
      </c>
      <c r="C45" s="11"/>
      <c r="D45" s="11"/>
      <c r="E45" s="62" t="s">
        <v>173</v>
      </c>
      <c r="F45" s="62" t="s">
        <v>166</v>
      </c>
      <c r="G45" s="64">
        <v>46090</v>
      </c>
      <c r="H45" s="62" t="s">
        <v>27</v>
      </c>
      <c r="J45" s="63" t="s">
        <v>73</v>
      </c>
    </row>
  </sheetData>
  <autoFilter ref="A9:K37" xr:uid="{00000000-0009-0000-0000-000004000000}">
    <filterColumn colId="9">
      <filters>
        <filter val="In Progress"/>
        <filter val="Open"/>
      </filters>
    </filterColumn>
  </autoFilter>
  <mergeCells count="9">
    <mergeCell ref="A7:E7"/>
    <mergeCell ref="C5:D5"/>
    <mergeCell ref="C3:D3"/>
    <mergeCell ref="A1:K1"/>
    <mergeCell ref="C4:D4"/>
    <mergeCell ref="F6:H6"/>
    <mergeCell ref="C6:D6"/>
    <mergeCell ref="C2:D2"/>
    <mergeCell ref="J6:K6"/>
  </mergeCells>
  <conditionalFormatting sqref="F4">
    <cfRule type="containsText" dxfId="7" priority="1" operator="containsText" text="In Progress">
      <formula>NOT(ISERROR(SEARCH("In Progress",F4)))</formula>
    </cfRule>
    <cfRule type="containsText" dxfId="6" priority="2" operator="containsText" text="Open">
      <formula>NOT(ISERROR(SEARCH("Open",F4)))</formula>
    </cfRule>
  </conditionalFormatting>
  <conditionalFormatting sqref="J1:J3 J5 J7:J45">
    <cfRule type="containsText" dxfId="5" priority="3" operator="containsText" text="In Progress">
      <formula>NOT(ISERROR(SEARCH("In Progress",J1)))</formula>
    </cfRule>
    <cfRule type="containsText" dxfId="4" priority="4" operator="containsText" text="Open">
      <formula>NOT(ISERROR(SEARCH("Open",J1)))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M49"/>
  <sheetViews>
    <sheetView topLeftCell="A6" zoomScale="64" workbookViewId="0">
      <selection activeCell="J48" sqref="J48"/>
    </sheetView>
  </sheetViews>
  <sheetFormatPr defaultRowHeight="15" x14ac:dyDescent="0.25"/>
  <cols>
    <col min="1" max="1" width="6.5703125" customWidth="1"/>
    <col min="2" max="2" width="13.5703125" customWidth="1"/>
    <col min="3" max="3" width="24.5703125" bestFit="1" customWidth="1"/>
    <col min="4" max="4" width="34.5703125" customWidth="1"/>
    <col min="5" max="5" width="80.5703125" customWidth="1"/>
    <col min="6" max="6" width="15.28515625" bestFit="1" customWidth="1"/>
    <col min="7" max="7" width="15.85546875" bestFit="1" customWidth="1"/>
    <col min="8" max="8" width="9" bestFit="1" customWidth="1"/>
    <col min="9" max="9" width="13.140625" bestFit="1" customWidth="1"/>
    <col min="10" max="10" width="11.85546875" bestFit="1" customWidth="1"/>
    <col min="11" max="11" width="75.28515625" customWidth="1"/>
  </cols>
  <sheetData>
    <row r="1" spans="1:13" ht="21" customHeight="1" x14ac:dyDescent="0.25">
      <c r="A1" s="77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20"/>
    </row>
    <row r="2" spans="1:13" ht="15.75" customHeight="1" x14ac:dyDescent="0.25">
      <c r="A2" s="18"/>
      <c r="B2" s="18"/>
      <c r="C2" s="76" t="s">
        <v>1</v>
      </c>
      <c r="D2" s="74"/>
      <c r="E2" s="1" t="s">
        <v>137</v>
      </c>
      <c r="F2" s="1"/>
      <c r="G2" s="1"/>
      <c r="H2" s="1"/>
      <c r="I2" s="1"/>
      <c r="J2" s="1"/>
      <c r="K2" s="1"/>
      <c r="L2" s="20"/>
    </row>
    <row r="3" spans="1:13" ht="22.5" customHeight="1" x14ac:dyDescent="0.25">
      <c r="A3" s="18"/>
      <c r="B3" s="18"/>
      <c r="C3" s="76" t="s">
        <v>3</v>
      </c>
      <c r="D3" s="74"/>
      <c r="E3" s="1" t="s">
        <v>4</v>
      </c>
      <c r="F3" s="1"/>
      <c r="G3" s="1"/>
      <c r="H3" s="1"/>
      <c r="I3" s="1"/>
      <c r="J3" s="1"/>
      <c r="K3" s="1"/>
      <c r="L3" s="20"/>
    </row>
    <row r="4" spans="1:13" ht="24" customHeight="1" x14ac:dyDescent="0.25">
      <c r="A4" s="18"/>
      <c r="B4" s="18"/>
      <c r="C4" s="76" t="s">
        <v>5</v>
      </c>
      <c r="D4" s="74"/>
      <c r="E4" s="4">
        <f t="array" aca="1" ref="E4" ca="1">VALUE(MID(CELL("filename", A1), FIND("]", CELL("filename", A1)) + 1, 15))</f>
        <v>46125</v>
      </c>
      <c r="F4" s="3" t="s">
        <v>6</v>
      </c>
      <c r="G4" s="7">
        <v>0.5625</v>
      </c>
      <c r="H4" s="3" t="s">
        <v>7</v>
      </c>
      <c r="I4" s="7">
        <v>0.60416666666666663</v>
      </c>
      <c r="J4" s="15"/>
      <c r="K4" s="6"/>
      <c r="L4" s="20"/>
    </row>
    <row r="5" spans="1:13" ht="24" customHeight="1" x14ac:dyDescent="0.25">
      <c r="A5" s="18"/>
      <c r="B5" s="18"/>
      <c r="C5" s="76" t="s">
        <v>8</v>
      </c>
      <c r="D5" s="74"/>
      <c r="E5" s="1" t="s">
        <v>9</v>
      </c>
      <c r="F5" s="1"/>
      <c r="G5" s="7"/>
      <c r="H5" s="1"/>
      <c r="I5" s="7"/>
      <c r="J5" s="1"/>
      <c r="K5" s="1"/>
      <c r="L5" s="20"/>
    </row>
    <row r="6" spans="1:13" ht="151.5" customHeight="1" x14ac:dyDescent="0.25">
      <c r="A6" s="19"/>
      <c r="B6" s="19"/>
      <c r="C6" s="80" t="s">
        <v>10</v>
      </c>
      <c r="D6" s="79"/>
      <c r="E6" s="23" t="s">
        <v>174</v>
      </c>
      <c r="F6" s="78" t="s">
        <v>175</v>
      </c>
      <c r="G6" s="79"/>
      <c r="H6" s="79"/>
      <c r="I6" s="23"/>
      <c r="J6" s="81"/>
      <c r="K6" s="74"/>
      <c r="L6" s="20"/>
      <c r="M6" s="5"/>
    </row>
    <row r="7" spans="1:13" ht="15.75" customHeight="1" x14ac:dyDescent="0.25">
      <c r="A7" s="73" t="s">
        <v>11</v>
      </c>
      <c r="B7" s="74"/>
      <c r="C7" s="74"/>
      <c r="D7" s="74"/>
      <c r="E7" s="74"/>
      <c r="H7" s="5"/>
      <c r="K7" s="5"/>
      <c r="L7" s="20"/>
    </row>
    <row r="8" spans="1:13" ht="15.75" customHeight="1" x14ac:dyDescent="0.25">
      <c r="A8" s="1"/>
      <c r="B8" s="1"/>
      <c r="C8" s="1"/>
      <c r="D8" s="1"/>
      <c r="E8" s="1"/>
      <c r="H8" s="5"/>
      <c r="K8" s="5"/>
      <c r="L8" s="20"/>
    </row>
    <row r="9" spans="1:13" ht="33" customHeight="1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0" t="s">
        <v>22</v>
      </c>
      <c r="L9" s="20"/>
    </row>
    <row r="10" spans="1:13" ht="31.5" customHeight="1" x14ac:dyDescent="0.25">
      <c r="A10" s="21">
        <f t="shared" ref="A10:A37" ca="1" si="0">IF(B10="","",MAX(OFFSET($A$1,0,0,ROW()-1,1))+1)</f>
        <v>1</v>
      </c>
      <c r="B10" s="11" t="s">
        <v>64</v>
      </c>
      <c r="C10" s="9" t="s">
        <v>76</v>
      </c>
      <c r="D10" s="41" t="s">
        <v>82</v>
      </c>
      <c r="E10" s="24" t="s">
        <v>83</v>
      </c>
      <c r="F10" s="28" t="s">
        <v>84</v>
      </c>
      <c r="G10" s="29">
        <v>46027</v>
      </c>
      <c r="H10" s="28" t="s">
        <v>27</v>
      </c>
      <c r="I10" s="22" t="s">
        <v>28</v>
      </c>
      <c r="J10" s="11" t="s">
        <v>73</v>
      </c>
      <c r="K10" s="14" t="s">
        <v>30</v>
      </c>
      <c r="L10" s="20"/>
    </row>
    <row r="11" spans="1:13" ht="110.25" hidden="1" customHeight="1" x14ac:dyDescent="0.25">
      <c r="A11" s="21">
        <f t="shared" ca="1" si="0"/>
        <v>2</v>
      </c>
      <c r="B11" s="11" t="s">
        <v>39</v>
      </c>
      <c r="C11" s="9" t="s">
        <v>72</v>
      </c>
      <c r="D11" s="9" t="s">
        <v>86</v>
      </c>
      <c r="E11" s="24" t="s">
        <v>87</v>
      </c>
      <c r="F11" s="30" t="s">
        <v>88</v>
      </c>
      <c r="G11" s="29">
        <v>46027</v>
      </c>
      <c r="H11" s="28" t="s">
        <v>27</v>
      </c>
      <c r="I11" s="22" t="s">
        <v>28</v>
      </c>
      <c r="J11" s="11" t="s">
        <v>73</v>
      </c>
      <c r="K11" s="14" t="s">
        <v>33</v>
      </c>
      <c r="L11" s="20"/>
    </row>
    <row r="12" spans="1:13" ht="47.25" hidden="1" customHeight="1" x14ac:dyDescent="0.25">
      <c r="A12" s="21">
        <f t="shared" ca="1" si="0"/>
        <v>3</v>
      </c>
      <c r="B12" s="11" t="s">
        <v>39</v>
      </c>
      <c r="C12" s="9" t="s">
        <v>72</v>
      </c>
      <c r="D12" s="9" t="s">
        <v>90</v>
      </c>
      <c r="E12" s="24" t="s">
        <v>91</v>
      </c>
      <c r="F12" s="28" t="s">
        <v>92</v>
      </c>
      <c r="G12" s="29">
        <v>46027</v>
      </c>
      <c r="H12" s="28" t="s">
        <v>27</v>
      </c>
      <c r="I12" s="22" t="s">
        <v>28</v>
      </c>
      <c r="J12" s="11" t="s">
        <v>73</v>
      </c>
      <c r="K12" s="14" t="s">
        <v>33</v>
      </c>
      <c r="L12" s="20"/>
    </row>
    <row r="13" spans="1:13" ht="47.25" customHeight="1" x14ac:dyDescent="0.25">
      <c r="A13" s="21">
        <f t="shared" ca="1" si="0"/>
        <v>4</v>
      </c>
      <c r="B13" s="11" t="s">
        <v>39</v>
      </c>
      <c r="C13" s="9" t="s">
        <v>76</v>
      </c>
      <c r="D13" s="41" t="s">
        <v>93</v>
      </c>
      <c r="E13" s="24" t="s">
        <v>94</v>
      </c>
      <c r="F13" s="28" t="s">
        <v>95</v>
      </c>
      <c r="G13" s="29">
        <v>46027</v>
      </c>
      <c r="H13" s="28" t="s">
        <v>27</v>
      </c>
      <c r="I13" s="22" t="s">
        <v>28</v>
      </c>
      <c r="J13" s="11" t="s">
        <v>73</v>
      </c>
      <c r="K13" s="65" t="s">
        <v>30</v>
      </c>
      <c r="L13" s="20"/>
    </row>
    <row r="14" spans="1:13" ht="189" customHeight="1" x14ac:dyDescent="0.25">
      <c r="A14" s="21">
        <f t="shared" ca="1" si="0"/>
        <v>5</v>
      </c>
      <c r="B14" s="11" t="s">
        <v>39</v>
      </c>
      <c r="C14" s="9" t="s">
        <v>76</v>
      </c>
      <c r="D14" s="41" t="s">
        <v>97</v>
      </c>
      <c r="E14" s="24" t="s">
        <v>98</v>
      </c>
      <c r="F14" s="28" t="s">
        <v>92</v>
      </c>
      <c r="G14" s="29">
        <v>46027</v>
      </c>
      <c r="H14" s="28" t="s">
        <v>27</v>
      </c>
      <c r="I14" s="22" t="s">
        <v>28</v>
      </c>
      <c r="J14" s="11" t="s">
        <v>73</v>
      </c>
      <c r="K14" s="14" t="s">
        <v>42</v>
      </c>
      <c r="L14" s="20"/>
    </row>
    <row r="15" spans="1:13" ht="31.5" customHeight="1" x14ac:dyDescent="0.25">
      <c r="A15" s="21">
        <f t="shared" ca="1" si="0"/>
        <v>6</v>
      </c>
      <c r="B15" s="11" t="s">
        <v>39</v>
      </c>
      <c r="C15" s="9" t="s">
        <v>76</v>
      </c>
      <c r="D15" s="41" t="s">
        <v>100</v>
      </c>
      <c r="E15" s="25" t="s">
        <v>101</v>
      </c>
      <c r="F15" s="28" t="s">
        <v>102</v>
      </c>
      <c r="G15" s="29">
        <v>46027</v>
      </c>
      <c r="H15" s="28" t="s">
        <v>27</v>
      </c>
      <c r="I15" s="22" t="s">
        <v>28</v>
      </c>
      <c r="J15" s="11" t="s">
        <v>73</v>
      </c>
      <c r="K15" s="14" t="s">
        <v>30</v>
      </c>
      <c r="L15" s="20"/>
    </row>
    <row r="16" spans="1:13" s="33" customFormat="1" ht="78.75" customHeight="1" x14ac:dyDescent="0.25">
      <c r="A16" s="21">
        <f t="shared" ca="1" si="0"/>
        <v>7</v>
      </c>
      <c r="B16" s="11" t="s">
        <v>39</v>
      </c>
      <c r="C16" s="9" t="s">
        <v>76</v>
      </c>
      <c r="D16" s="41" t="s">
        <v>104</v>
      </c>
      <c r="E16" s="31" t="s">
        <v>104</v>
      </c>
      <c r="F16" s="11"/>
      <c r="G16" s="12"/>
      <c r="H16" s="28" t="s">
        <v>27</v>
      </c>
      <c r="I16" s="22"/>
      <c r="J16" s="11" t="s">
        <v>29</v>
      </c>
      <c r="K16" s="14" t="s">
        <v>47</v>
      </c>
      <c r="L16" s="32"/>
    </row>
    <row r="17" spans="1:12" ht="15.75" hidden="1" customHeight="1" x14ac:dyDescent="0.25">
      <c r="A17" s="21">
        <f t="shared" ca="1" si="0"/>
        <v>8</v>
      </c>
      <c r="B17" s="11" t="s">
        <v>39</v>
      </c>
      <c r="C17" s="9" t="s">
        <v>77</v>
      </c>
      <c r="D17" s="9" t="s">
        <v>105</v>
      </c>
      <c r="E17" s="26" t="s">
        <v>106</v>
      </c>
      <c r="F17" s="11"/>
      <c r="G17" s="12"/>
      <c r="H17" s="28" t="s">
        <v>27</v>
      </c>
      <c r="I17" s="22"/>
      <c r="J17" s="11" t="s">
        <v>73</v>
      </c>
      <c r="K17" s="9"/>
      <c r="L17" s="20"/>
    </row>
    <row r="18" spans="1:12" s="20" customFormat="1" ht="15.75" hidden="1" customHeight="1" x14ac:dyDescent="0.25">
      <c r="A18" s="21">
        <f t="shared" ca="1" si="0"/>
        <v>9</v>
      </c>
      <c r="B18" s="11" t="s">
        <v>39</v>
      </c>
      <c r="C18" s="9" t="s">
        <v>77</v>
      </c>
      <c r="D18" s="9" t="s">
        <v>107</v>
      </c>
      <c r="E18" s="26" t="s">
        <v>108</v>
      </c>
      <c r="F18" s="11"/>
      <c r="G18" s="12"/>
      <c r="H18" s="28" t="s">
        <v>27</v>
      </c>
      <c r="I18" s="12"/>
      <c r="J18" s="11" t="s">
        <v>73</v>
      </c>
      <c r="K18" s="9" t="s">
        <v>52</v>
      </c>
    </row>
    <row r="19" spans="1:12" s="20" customFormat="1" ht="15.75" hidden="1" customHeight="1" x14ac:dyDescent="0.25">
      <c r="A19" s="21">
        <f t="shared" ca="1" si="0"/>
        <v>10</v>
      </c>
      <c r="B19" s="11" t="s">
        <v>39</v>
      </c>
      <c r="C19" s="9" t="s">
        <v>77</v>
      </c>
      <c r="D19" s="9" t="s">
        <v>109</v>
      </c>
      <c r="E19" s="26" t="s">
        <v>110</v>
      </c>
      <c r="F19" s="11"/>
      <c r="G19" s="12"/>
      <c r="H19" s="28" t="s">
        <v>27</v>
      </c>
      <c r="I19" s="12"/>
      <c r="J19" s="11" t="s">
        <v>73</v>
      </c>
      <c r="K19" s="27" t="s">
        <v>52</v>
      </c>
    </row>
    <row r="20" spans="1:12" ht="15.75" customHeight="1" x14ac:dyDescent="0.25">
      <c r="A20" s="21">
        <f t="shared" ca="1" si="0"/>
        <v>11</v>
      </c>
      <c r="B20" s="11" t="s">
        <v>39</v>
      </c>
      <c r="C20" s="9" t="s">
        <v>76</v>
      </c>
      <c r="D20" s="42" t="s">
        <v>111</v>
      </c>
      <c r="E20" s="26" t="s">
        <v>112</v>
      </c>
      <c r="F20" s="11"/>
      <c r="G20" s="11"/>
      <c r="H20" s="28" t="s">
        <v>27</v>
      </c>
      <c r="I20" s="11"/>
      <c r="J20" s="11" t="s">
        <v>73</v>
      </c>
      <c r="K20" s="14" t="s">
        <v>30</v>
      </c>
      <c r="L20" s="20"/>
    </row>
    <row r="21" spans="1:12" ht="47.25" customHeight="1" x14ac:dyDescent="0.25">
      <c r="A21" s="21">
        <f t="shared" ca="1" si="0"/>
        <v>12</v>
      </c>
      <c r="B21" s="34" t="s">
        <v>39</v>
      </c>
      <c r="C21" s="35" t="s">
        <v>76</v>
      </c>
      <c r="D21" s="43" t="s">
        <v>113</v>
      </c>
      <c r="E21" s="38" t="s">
        <v>114</v>
      </c>
      <c r="F21" s="34" t="s">
        <v>115</v>
      </c>
      <c r="G21" s="29">
        <v>46034</v>
      </c>
      <c r="H21" s="36" t="s">
        <v>27</v>
      </c>
      <c r="I21" s="34"/>
      <c r="J21" s="11" t="s">
        <v>29</v>
      </c>
      <c r="K21" s="35" t="s">
        <v>61</v>
      </c>
      <c r="L21" s="20"/>
    </row>
    <row r="22" spans="1:12" ht="31.5" hidden="1" customHeight="1" x14ac:dyDescent="0.25">
      <c r="A22" s="21">
        <f t="shared" ca="1" si="0"/>
        <v>13</v>
      </c>
      <c r="B22" s="11" t="s">
        <v>39</v>
      </c>
      <c r="C22" s="9" t="s">
        <v>68</v>
      </c>
      <c r="D22" s="11" t="s">
        <v>116</v>
      </c>
      <c r="E22" s="9" t="s">
        <v>117</v>
      </c>
      <c r="F22" s="11" t="s">
        <v>118</v>
      </c>
      <c r="G22" s="29">
        <v>46034</v>
      </c>
      <c r="H22" s="37" t="s">
        <v>119</v>
      </c>
      <c r="I22" s="11"/>
      <c r="J22" s="11" t="s">
        <v>73</v>
      </c>
      <c r="K22" s="9"/>
    </row>
    <row r="23" spans="1:12" ht="31.5" customHeight="1" x14ac:dyDescent="0.25">
      <c r="A23" s="21">
        <f t="shared" ca="1" si="0"/>
        <v>14</v>
      </c>
      <c r="B23" s="11" t="s">
        <v>64</v>
      </c>
      <c r="C23" s="9" t="s">
        <v>64</v>
      </c>
      <c r="D23" s="42" t="s">
        <v>120</v>
      </c>
      <c r="E23" s="9" t="s">
        <v>121</v>
      </c>
      <c r="F23" s="9" t="s">
        <v>122</v>
      </c>
      <c r="G23" s="48">
        <v>46034</v>
      </c>
      <c r="H23" s="37" t="s">
        <v>123</v>
      </c>
      <c r="I23" s="11"/>
      <c r="J23" s="11" t="s">
        <v>69</v>
      </c>
      <c r="K23" s="9"/>
      <c r="L23" s="20"/>
    </row>
    <row r="24" spans="1:12" s="17" customFormat="1" ht="31.5" customHeight="1" x14ac:dyDescent="0.25">
      <c r="A24" s="21">
        <f t="shared" ca="1" si="0"/>
        <v>15</v>
      </c>
      <c r="B24" s="11" t="s">
        <v>39</v>
      </c>
      <c r="C24" s="11" t="s">
        <v>76</v>
      </c>
      <c r="D24" s="42" t="s">
        <v>124</v>
      </c>
      <c r="E24" s="11" t="s">
        <v>125</v>
      </c>
      <c r="F24" s="9" t="s">
        <v>122</v>
      </c>
      <c r="G24" s="48">
        <v>46034</v>
      </c>
      <c r="H24" s="9" t="s">
        <v>123</v>
      </c>
      <c r="I24" s="11"/>
      <c r="J24" s="11" t="s">
        <v>73</v>
      </c>
      <c r="K24" s="9" t="s">
        <v>126</v>
      </c>
      <c r="L24" s="20"/>
    </row>
    <row r="25" spans="1:12" s="17" customFormat="1" ht="31.5" hidden="1" customHeight="1" x14ac:dyDescent="0.25">
      <c r="A25" s="21">
        <f t="shared" ca="1" si="0"/>
        <v>16</v>
      </c>
      <c r="B25" s="11" t="s">
        <v>64</v>
      </c>
      <c r="C25" s="9" t="s">
        <v>64</v>
      </c>
      <c r="D25" s="11" t="s">
        <v>128</v>
      </c>
      <c r="E25" s="11" t="s">
        <v>129</v>
      </c>
      <c r="F25" s="11" t="s">
        <v>115</v>
      </c>
      <c r="G25" s="57">
        <v>46048</v>
      </c>
      <c r="H25" s="9" t="s">
        <v>123</v>
      </c>
      <c r="I25" s="11"/>
      <c r="J25" s="11" t="s">
        <v>73</v>
      </c>
      <c r="K25" s="9"/>
      <c r="L25" s="20"/>
    </row>
    <row r="26" spans="1:12" ht="31.5" hidden="1" customHeight="1" x14ac:dyDescent="0.25">
      <c r="A26" s="21">
        <f t="shared" ca="1" si="0"/>
        <v>17</v>
      </c>
      <c r="B26" s="11" t="s">
        <v>64</v>
      </c>
      <c r="C26" s="9" t="s">
        <v>64</v>
      </c>
      <c r="D26" s="11" t="s">
        <v>130</v>
      </c>
      <c r="E26" s="9" t="s">
        <v>131</v>
      </c>
      <c r="F26" s="11" t="s">
        <v>115</v>
      </c>
      <c r="G26" s="57">
        <v>46048</v>
      </c>
      <c r="H26" s="9" t="s">
        <v>123</v>
      </c>
      <c r="I26" s="11"/>
      <c r="J26" s="11" t="s">
        <v>73</v>
      </c>
      <c r="K26" s="9"/>
      <c r="L26" s="20"/>
    </row>
    <row r="27" spans="1:12" s="17" customFormat="1" ht="31.5" hidden="1" customHeight="1" x14ac:dyDescent="0.25">
      <c r="A27" s="21">
        <f t="shared" ca="1" si="0"/>
        <v>18</v>
      </c>
      <c r="B27" s="11" t="s">
        <v>64</v>
      </c>
      <c r="C27" s="9" t="s">
        <v>64</v>
      </c>
      <c r="D27" s="11" t="s">
        <v>132</v>
      </c>
      <c r="E27" s="11" t="s">
        <v>133</v>
      </c>
      <c r="F27" s="11" t="s">
        <v>115</v>
      </c>
      <c r="G27" s="57">
        <v>46048</v>
      </c>
      <c r="H27" s="9" t="s">
        <v>123</v>
      </c>
      <c r="I27" s="11"/>
      <c r="J27" s="11" t="s">
        <v>73</v>
      </c>
      <c r="K27" s="9"/>
      <c r="L27" s="20"/>
    </row>
    <row r="28" spans="1:12" ht="31.5" hidden="1" customHeight="1" x14ac:dyDescent="0.25">
      <c r="A28" s="21">
        <f t="shared" ca="1" si="0"/>
        <v>19</v>
      </c>
      <c r="B28" s="11" t="s">
        <v>39</v>
      </c>
      <c r="C28" s="9" t="s">
        <v>78</v>
      </c>
      <c r="D28" s="11" t="s">
        <v>134</v>
      </c>
      <c r="E28" s="9" t="s">
        <v>135</v>
      </c>
      <c r="F28" s="11" t="s">
        <v>136</v>
      </c>
      <c r="G28" s="57">
        <v>46048</v>
      </c>
      <c r="H28" s="9" t="s">
        <v>27</v>
      </c>
      <c r="I28" s="11"/>
      <c r="J28" s="11" t="s">
        <v>73</v>
      </c>
      <c r="K28" s="9" t="s">
        <v>141</v>
      </c>
      <c r="L28" s="20"/>
    </row>
    <row r="29" spans="1:12" ht="47.25" hidden="1" customHeight="1" x14ac:dyDescent="0.25">
      <c r="A29" s="21">
        <f t="shared" ca="1" si="0"/>
        <v>20</v>
      </c>
      <c r="B29" s="11" t="s">
        <v>64</v>
      </c>
      <c r="C29" s="9" t="s">
        <v>64</v>
      </c>
      <c r="D29" s="11" t="s">
        <v>142</v>
      </c>
      <c r="E29" s="9" t="s">
        <v>143</v>
      </c>
      <c r="F29" s="11" t="s">
        <v>119</v>
      </c>
      <c r="G29" s="57">
        <v>46062</v>
      </c>
      <c r="H29" s="9" t="s">
        <v>27</v>
      </c>
      <c r="I29" s="11"/>
      <c r="J29" s="11" t="s">
        <v>73</v>
      </c>
      <c r="K29" s="9"/>
      <c r="L29" s="20"/>
    </row>
    <row r="30" spans="1:12" ht="31.5" hidden="1" customHeight="1" x14ac:dyDescent="0.25">
      <c r="A30" s="21">
        <f t="shared" ca="1" si="0"/>
        <v>21</v>
      </c>
      <c r="B30" s="11" t="s">
        <v>64</v>
      </c>
      <c r="C30" s="9" t="s">
        <v>64</v>
      </c>
      <c r="D30" s="11" t="s">
        <v>144</v>
      </c>
      <c r="E30" s="9" t="s">
        <v>145</v>
      </c>
      <c r="F30" s="11" t="s">
        <v>119</v>
      </c>
      <c r="G30" s="57">
        <v>46062</v>
      </c>
      <c r="H30" s="9" t="s">
        <v>27</v>
      </c>
      <c r="I30" s="11"/>
      <c r="J30" s="11" t="s">
        <v>73</v>
      </c>
      <c r="K30" s="9"/>
      <c r="L30" s="20"/>
    </row>
    <row r="31" spans="1:12" ht="31.5" customHeight="1" x14ac:dyDescent="0.25">
      <c r="A31" s="21">
        <f t="shared" ca="1" si="0"/>
        <v>22</v>
      </c>
      <c r="B31" s="11" t="s">
        <v>64</v>
      </c>
      <c r="C31" s="9" t="s">
        <v>64</v>
      </c>
      <c r="D31" s="11" t="s">
        <v>146</v>
      </c>
      <c r="E31" s="9" t="s">
        <v>147</v>
      </c>
      <c r="F31" s="11" t="s">
        <v>148</v>
      </c>
      <c r="G31" s="57">
        <v>46062</v>
      </c>
      <c r="H31" s="9" t="s">
        <v>123</v>
      </c>
      <c r="I31" s="11"/>
      <c r="J31" s="11" t="s">
        <v>73</v>
      </c>
      <c r="K31" s="9"/>
      <c r="L31" s="20"/>
    </row>
    <row r="32" spans="1:12" ht="47.25" customHeight="1" x14ac:dyDescent="0.25">
      <c r="A32" s="21">
        <f t="shared" ca="1" si="0"/>
        <v>23</v>
      </c>
      <c r="B32" s="11" t="s">
        <v>39</v>
      </c>
      <c r="C32" s="9" t="s">
        <v>76</v>
      </c>
      <c r="D32" s="11" t="s">
        <v>149</v>
      </c>
      <c r="E32" s="9" t="s">
        <v>150</v>
      </c>
      <c r="F32" s="11" t="s">
        <v>151</v>
      </c>
      <c r="G32" s="57">
        <v>46062</v>
      </c>
      <c r="H32" s="9" t="s">
        <v>27</v>
      </c>
      <c r="I32" s="11"/>
      <c r="J32" s="11" t="s">
        <v>29</v>
      </c>
      <c r="K32" s="9" t="s">
        <v>152</v>
      </c>
      <c r="L32" s="20"/>
    </row>
    <row r="33" spans="1:11" ht="47.25" customHeight="1" x14ac:dyDescent="0.25">
      <c r="A33" s="21">
        <f t="shared" ca="1" si="0"/>
        <v>24</v>
      </c>
      <c r="B33" s="11" t="s">
        <v>39</v>
      </c>
      <c r="C33" s="9" t="s">
        <v>76</v>
      </c>
      <c r="D33" s="11" t="s">
        <v>153</v>
      </c>
      <c r="E33" s="9" t="s">
        <v>154</v>
      </c>
      <c r="F33" s="11" t="s">
        <v>148</v>
      </c>
      <c r="G33" s="57">
        <v>46062</v>
      </c>
      <c r="H33" s="9" t="s">
        <v>27</v>
      </c>
      <c r="I33" s="59"/>
      <c r="J33" s="11" t="s">
        <v>29</v>
      </c>
      <c r="K33" s="9" t="s">
        <v>155</v>
      </c>
    </row>
    <row r="34" spans="1:11" ht="15.75" customHeight="1" x14ac:dyDescent="0.25">
      <c r="A34" s="21">
        <f t="shared" ca="1" si="0"/>
        <v>25</v>
      </c>
      <c r="B34" s="11" t="s">
        <v>39</v>
      </c>
      <c r="C34" s="9" t="s">
        <v>76</v>
      </c>
      <c r="D34" s="11" t="s">
        <v>149</v>
      </c>
      <c r="E34" s="9" t="s">
        <v>156</v>
      </c>
      <c r="F34" s="11" t="s">
        <v>157</v>
      </c>
      <c r="G34" s="57">
        <v>46062</v>
      </c>
      <c r="H34" s="9" t="s">
        <v>27</v>
      </c>
      <c r="I34" s="59"/>
      <c r="J34" s="11" t="s">
        <v>29</v>
      </c>
      <c r="K34" s="9" t="s">
        <v>152</v>
      </c>
    </row>
    <row r="35" spans="1:11" ht="47.25" hidden="1" customHeight="1" x14ac:dyDescent="0.25">
      <c r="A35" s="21">
        <f t="shared" ca="1" si="0"/>
        <v>26</v>
      </c>
      <c r="B35" s="11" t="s">
        <v>64</v>
      </c>
      <c r="C35" s="9" t="s">
        <v>76</v>
      </c>
      <c r="D35" s="11" t="s">
        <v>120</v>
      </c>
      <c r="E35" s="9" t="s">
        <v>158</v>
      </c>
      <c r="F35" s="11" t="s">
        <v>148</v>
      </c>
      <c r="G35" s="57">
        <v>46062</v>
      </c>
      <c r="H35" s="9" t="s">
        <v>123</v>
      </c>
      <c r="I35" s="59"/>
      <c r="J35" s="11" t="s">
        <v>73</v>
      </c>
      <c r="K35" s="59"/>
    </row>
    <row r="36" spans="1:11" ht="31.5" hidden="1" customHeight="1" x14ac:dyDescent="0.25">
      <c r="A36" s="21">
        <f t="shared" ca="1" si="0"/>
        <v>27</v>
      </c>
      <c r="B36" s="11" t="s">
        <v>39</v>
      </c>
      <c r="C36" s="9" t="s">
        <v>64</v>
      </c>
      <c r="D36" s="11" t="s">
        <v>159</v>
      </c>
      <c r="E36" s="9" t="s">
        <v>160</v>
      </c>
      <c r="F36" s="11" t="s">
        <v>148</v>
      </c>
      <c r="G36" s="57">
        <v>46062</v>
      </c>
      <c r="H36" s="9" t="s">
        <v>27</v>
      </c>
      <c r="I36" s="59"/>
      <c r="J36" s="11" t="s">
        <v>73</v>
      </c>
      <c r="K36" s="59"/>
    </row>
    <row r="37" spans="1:11" ht="15.75" customHeight="1" x14ac:dyDescent="0.25">
      <c r="A37" s="21">
        <f t="shared" ca="1" si="0"/>
        <v>28</v>
      </c>
      <c r="B37" s="11" t="s">
        <v>39</v>
      </c>
      <c r="C37" s="9" t="s">
        <v>76</v>
      </c>
      <c r="D37" s="11" t="s">
        <v>161</v>
      </c>
      <c r="E37" s="9" t="s">
        <v>162</v>
      </c>
      <c r="F37" s="11" t="s">
        <v>148</v>
      </c>
      <c r="G37" s="61">
        <v>46062</v>
      </c>
      <c r="H37" s="9" t="s">
        <v>27</v>
      </c>
      <c r="I37" s="59"/>
      <c r="J37" s="11" t="s">
        <v>29</v>
      </c>
      <c r="K37" s="59"/>
    </row>
    <row r="38" spans="1:11" ht="47.25" customHeight="1" x14ac:dyDescent="0.25">
      <c r="A38">
        <v>29</v>
      </c>
      <c r="B38" s="11" t="s">
        <v>23</v>
      </c>
      <c r="C38" s="11" t="s">
        <v>163</v>
      </c>
      <c r="D38" s="11" t="s">
        <v>164</v>
      </c>
      <c r="E38" s="62" t="s">
        <v>165</v>
      </c>
      <c r="F38" s="62" t="s">
        <v>166</v>
      </c>
      <c r="G38" s="64">
        <v>46090</v>
      </c>
      <c r="H38" s="62" t="s">
        <v>27</v>
      </c>
      <c r="J38" s="63" t="s">
        <v>69</v>
      </c>
      <c r="K38" s="66" t="s">
        <v>176</v>
      </c>
    </row>
    <row r="39" spans="1:11" ht="63" customHeight="1" x14ac:dyDescent="0.25">
      <c r="A39">
        <v>30</v>
      </c>
      <c r="B39" s="11" t="s">
        <v>23</v>
      </c>
      <c r="C39" s="11" t="s">
        <v>163</v>
      </c>
      <c r="D39" s="11" t="s">
        <v>164</v>
      </c>
      <c r="E39" s="62" t="s">
        <v>167</v>
      </c>
      <c r="F39" s="62" t="s">
        <v>166</v>
      </c>
      <c r="G39" s="64">
        <v>46090</v>
      </c>
      <c r="H39" s="62" t="s">
        <v>27</v>
      </c>
      <c r="J39" s="63" t="s">
        <v>69</v>
      </c>
      <c r="K39" s="66" t="s">
        <v>177</v>
      </c>
    </row>
    <row r="40" spans="1:11" ht="63" customHeight="1" x14ac:dyDescent="0.25">
      <c r="A40">
        <v>31</v>
      </c>
      <c r="B40" s="11" t="s">
        <v>23</v>
      </c>
      <c r="C40" s="11" t="s">
        <v>163</v>
      </c>
      <c r="D40" s="11" t="s">
        <v>164</v>
      </c>
      <c r="E40" s="62" t="s">
        <v>168</v>
      </c>
      <c r="F40" s="62" t="s">
        <v>166</v>
      </c>
      <c r="G40" s="64">
        <v>46090</v>
      </c>
      <c r="H40" s="62" t="s">
        <v>27</v>
      </c>
      <c r="J40" s="63" t="s">
        <v>29</v>
      </c>
    </row>
    <row r="41" spans="1:11" ht="47.25" customHeight="1" x14ac:dyDescent="0.25">
      <c r="A41">
        <v>32</v>
      </c>
      <c r="B41" s="11" t="s">
        <v>39</v>
      </c>
      <c r="C41" s="11" t="s">
        <v>163</v>
      </c>
      <c r="D41" s="11" t="s">
        <v>164</v>
      </c>
      <c r="E41" s="62" t="s">
        <v>169</v>
      </c>
      <c r="F41" s="62" t="s">
        <v>166</v>
      </c>
      <c r="G41" s="64">
        <v>46090</v>
      </c>
      <c r="H41" s="62" t="s">
        <v>27</v>
      </c>
      <c r="J41" s="63" t="s">
        <v>69</v>
      </c>
      <c r="K41" s="66" t="s">
        <v>178</v>
      </c>
    </row>
    <row r="42" spans="1:11" ht="47.25" customHeight="1" x14ac:dyDescent="0.25">
      <c r="A42">
        <v>33</v>
      </c>
      <c r="B42" s="11" t="s">
        <v>23</v>
      </c>
      <c r="C42" s="11" t="s">
        <v>163</v>
      </c>
      <c r="D42" s="11" t="s">
        <v>164</v>
      </c>
      <c r="E42" s="62" t="s">
        <v>170</v>
      </c>
      <c r="F42" s="62" t="s">
        <v>166</v>
      </c>
      <c r="G42" s="64">
        <v>46090</v>
      </c>
      <c r="H42" s="62" t="s">
        <v>27</v>
      </c>
      <c r="J42" s="63" t="s">
        <v>29</v>
      </c>
    </row>
    <row r="43" spans="1:11" ht="47.25" customHeight="1" x14ac:dyDescent="0.25">
      <c r="A43">
        <v>33</v>
      </c>
      <c r="B43" s="11" t="s">
        <v>23</v>
      </c>
      <c r="C43" s="11" t="s">
        <v>163</v>
      </c>
      <c r="D43" s="11" t="s">
        <v>164</v>
      </c>
      <c r="E43" s="62" t="s">
        <v>171</v>
      </c>
      <c r="F43" s="62" t="s">
        <v>166</v>
      </c>
      <c r="G43" s="64">
        <v>46090</v>
      </c>
      <c r="H43" s="62" t="s">
        <v>27</v>
      </c>
      <c r="J43" s="63" t="s">
        <v>29</v>
      </c>
    </row>
    <row r="44" spans="1:11" ht="47.25" hidden="1" customHeight="1" x14ac:dyDescent="0.25">
      <c r="A44">
        <v>29</v>
      </c>
      <c r="B44" s="11" t="s">
        <v>64</v>
      </c>
      <c r="C44" s="11"/>
      <c r="D44" s="11"/>
      <c r="E44" s="62" t="s">
        <v>172</v>
      </c>
      <c r="F44" s="62" t="s">
        <v>166</v>
      </c>
      <c r="G44" s="64">
        <v>46090</v>
      </c>
      <c r="H44" s="62" t="s">
        <v>27</v>
      </c>
      <c r="J44" s="63" t="s">
        <v>73</v>
      </c>
    </row>
    <row r="45" spans="1:11" ht="47.25" hidden="1" customHeight="1" x14ac:dyDescent="0.25">
      <c r="A45">
        <v>29</v>
      </c>
      <c r="B45" s="11" t="s">
        <v>64</v>
      </c>
      <c r="C45" s="11"/>
      <c r="D45" s="11"/>
      <c r="E45" s="62" t="s">
        <v>173</v>
      </c>
      <c r="F45" s="62" t="s">
        <v>166</v>
      </c>
      <c r="G45" s="64">
        <v>46090</v>
      </c>
      <c r="H45" s="62" t="s">
        <v>27</v>
      </c>
      <c r="J45" s="63" t="s">
        <v>73</v>
      </c>
    </row>
    <row r="46" spans="1:11" ht="15.75" customHeight="1" x14ac:dyDescent="0.25">
      <c r="A46">
        <v>33</v>
      </c>
      <c r="B46" s="11" t="s">
        <v>23</v>
      </c>
      <c r="C46" s="63" t="s">
        <v>179</v>
      </c>
      <c r="D46" s="63" t="s">
        <v>180</v>
      </c>
      <c r="E46" s="67" t="s">
        <v>181</v>
      </c>
      <c r="F46" s="62" t="s">
        <v>148</v>
      </c>
      <c r="G46" s="64">
        <v>46125</v>
      </c>
      <c r="H46" s="62" t="s">
        <v>27</v>
      </c>
      <c r="J46" s="63" t="s">
        <v>29</v>
      </c>
    </row>
    <row r="47" spans="1:11" ht="15.75" customHeight="1" x14ac:dyDescent="0.25">
      <c r="A47">
        <v>33</v>
      </c>
      <c r="B47" s="63" t="s">
        <v>23</v>
      </c>
      <c r="C47" s="63" t="s">
        <v>182</v>
      </c>
      <c r="D47" s="63" t="s">
        <v>183</v>
      </c>
      <c r="E47" s="67" t="s">
        <v>184</v>
      </c>
      <c r="F47" s="62" t="s">
        <v>115</v>
      </c>
      <c r="G47" s="64">
        <v>46125</v>
      </c>
      <c r="H47" s="62" t="s">
        <v>27</v>
      </c>
      <c r="J47" s="63" t="s">
        <v>29</v>
      </c>
    </row>
    <row r="48" spans="1:11" x14ac:dyDescent="0.25">
      <c r="A48">
        <v>33</v>
      </c>
    </row>
    <row r="49" spans="1:1" x14ac:dyDescent="0.25">
      <c r="A49">
        <v>33</v>
      </c>
    </row>
  </sheetData>
  <autoFilter ref="A9:K45" xr:uid="{00000000-0009-0000-0000-000005000000}">
    <filterColumn colId="9">
      <filters>
        <filter val="In Progress"/>
        <filter val="Open"/>
      </filters>
    </filterColumn>
  </autoFilter>
  <mergeCells count="9">
    <mergeCell ref="A7:E7"/>
    <mergeCell ref="C5:D5"/>
    <mergeCell ref="C3:D3"/>
    <mergeCell ref="A1:K1"/>
    <mergeCell ref="C4:D4"/>
    <mergeCell ref="F6:H6"/>
    <mergeCell ref="C6:D6"/>
    <mergeCell ref="C2:D2"/>
    <mergeCell ref="J6:K6"/>
  </mergeCells>
  <conditionalFormatting sqref="F4">
    <cfRule type="containsText" dxfId="3" priority="1" operator="containsText" text="In Progress">
      <formula>NOT(ISERROR(SEARCH("In Progress",F4)))</formula>
    </cfRule>
    <cfRule type="containsText" dxfId="2" priority="2" operator="containsText" text="Open">
      <formula>NOT(ISERROR(SEARCH("Open",F4)))</formula>
    </cfRule>
  </conditionalFormatting>
  <conditionalFormatting sqref="J1:J3 J5 J7:J47">
    <cfRule type="containsText" dxfId="1" priority="3" operator="containsText" text="In Progress">
      <formula>NOT(ISERROR(SEARCH("In Progress",J1)))</formula>
    </cfRule>
    <cfRule type="containsText" dxfId="0" priority="4" operator="containsText" text="Open">
      <formula>NOT(ISERROR(SEARCH("Open",J1)))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5"/>
  <sheetViews>
    <sheetView zoomScale="70" zoomScaleNormal="70" workbookViewId="0">
      <selection activeCell="E17" sqref="E17"/>
    </sheetView>
  </sheetViews>
  <sheetFormatPr defaultRowHeight="15" x14ac:dyDescent="0.25"/>
  <cols>
    <col min="5" max="5" width="9.140625" style="5"/>
  </cols>
  <sheetData>
    <row r="1" spans="1:9" x14ac:dyDescent="0.25">
      <c r="A1" t="s">
        <v>185</v>
      </c>
    </row>
    <row r="4" spans="1:9" x14ac:dyDescent="0.25">
      <c r="G4" s="70">
        <v>0.375</v>
      </c>
      <c r="I4" s="71">
        <v>0.47916666666666669</v>
      </c>
    </row>
    <row r="5" spans="1:9" ht="120" x14ac:dyDescent="0.25">
      <c r="E5" s="5" t="s">
        <v>396</v>
      </c>
    </row>
    <row r="6" spans="1:9" ht="189" x14ac:dyDescent="0.25">
      <c r="E6" s="72" t="s">
        <v>398</v>
      </c>
      <c r="F6" s="72" t="s">
        <v>400</v>
      </c>
    </row>
    <row r="10" spans="1:9" x14ac:dyDescent="0.25">
      <c r="F10" t="s">
        <v>115</v>
      </c>
    </row>
    <row r="11" spans="1:9" x14ac:dyDescent="0.25">
      <c r="F11" t="s">
        <v>115</v>
      </c>
    </row>
    <row r="12" spans="1:9" x14ac:dyDescent="0.25">
      <c r="F12" t="s">
        <v>115</v>
      </c>
    </row>
    <row r="13" spans="1:9" x14ac:dyDescent="0.25">
      <c r="F13" t="s">
        <v>115</v>
      </c>
    </row>
    <row r="14" spans="1:9" x14ac:dyDescent="0.25">
      <c r="F14" t="s">
        <v>115</v>
      </c>
      <c r="H14" t="s">
        <v>394</v>
      </c>
    </row>
    <row r="15" spans="1:9" x14ac:dyDescent="0.25">
      <c r="F15" t="s">
        <v>115</v>
      </c>
    </row>
    <row r="16" spans="1:9" ht="270" x14ac:dyDescent="0.25">
      <c r="E16" s="5" t="s">
        <v>395</v>
      </c>
      <c r="F16" t="s">
        <v>115</v>
      </c>
    </row>
    <row r="17" spans="5:6" x14ac:dyDescent="0.25">
      <c r="F17" t="s">
        <v>115</v>
      </c>
    </row>
    <row r="18" spans="5:6" x14ac:dyDescent="0.25">
      <c r="F18" t="s">
        <v>115</v>
      </c>
    </row>
    <row r="19" spans="5:6" x14ac:dyDescent="0.25">
      <c r="F19" t="s">
        <v>115</v>
      </c>
    </row>
    <row r="20" spans="5:6" x14ac:dyDescent="0.25">
      <c r="F20" t="s">
        <v>115</v>
      </c>
    </row>
    <row r="21" spans="5:6" x14ac:dyDescent="0.25">
      <c r="F21" t="s">
        <v>115</v>
      </c>
    </row>
    <row r="22" spans="5:6" x14ac:dyDescent="0.25">
      <c r="E22"/>
      <c r="F22" t="s">
        <v>115</v>
      </c>
    </row>
    <row r="25" spans="5:6" x14ac:dyDescent="0.25">
      <c r="E25"/>
    </row>
    <row r="26" spans="5:6" x14ac:dyDescent="0.25">
      <c r="E26"/>
    </row>
    <row r="27" spans="5:6" x14ac:dyDescent="0.25">
      <c r="E27"/>
    </row>
    <row r="28" spans="5:6" x14ac:dyDescent="0.25">
      <c r="E28"/>
    </row>
    <row r="29" spans="5:6" x14ac:dyDescent="0.25">
      <c r="E29"/>
    </row>
    <row r="30" spans="5:6" x14ac:dyDescent="0.25">
      <c r="E30"/>
    </row>
    <row r="35" spans="5:5" x14ac:dyDescent="0.25">
      <c r="E35"/>
    </row>
    <row r="36" spans="5:5" x14ac:dyDescent="0.25">
      <c r="E36"/>
    </row>
    <row r="44" spans="5:5" x14ac:dyDescent="0.25">
      <c r="E44"/>
    </row>
    <row r="45" spans="5:5" x14ac:dyDescent="0.25">
      <c r="E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8"/>
  <sheetViews>
    <sheetView tabSelected="1" topLeftCell="A5" zoomScale="88" workbookViewId="0">
      <selection activeCell="E11" sqref="E11"/>
    </sheetView>
  </sheetViews>
  <sheetFormatPr defaultRowHeight="15" x14ac:dyDescent="0.25"/>
  <cols>
    <col min="1" max="1" width="6.5703125" customWidth="1"/>
    <col min="2" max="2" width="13.5703125" customWidth="1"/>
    <col min="3" max="3" width="24.5703125" bestFit="1" customWidth="1"/>
    <col min="4" max="4" width="34.5703125" customWidth="1"/>
    <col min="5" max="5" width="80.5703125" style="5" customWidth="1"/>
    <col min="6" max="6" width="15.28515625" bestFit="1" customWidth="1"/>
    <col min="7" max="7" width="21.7109375" bestFit="1" customWidth="1"/>
    <col min="8" max="8" width="9" bestFit="1" customWidth="1"/>
    <col min="9" max="9" width="13.140625" bestFit="1" customWidth="1"/>
    <col min="10" max="10" width="11.85546875" bestFit="1" customWidth="1"/>
    <col min="11" max="11" width="75.28515625" customWidth="1"/>
  </cols>
  <sheetData>
    <row r="1" spans="1:13" ht="21" customHeight="1" x14ac:dyDescent="0.25">
      <c r="A1" s="77" t="s">
        <v>0</v>
      </c>
      <c r="B1" s="74"/>
      <c r="C1" s="74"/>
      <c r="D1" s="74"/>
      <c r="E1" s="75"/>
      <c r="F1" s="74"/>
      <c r="G1" s="74"/>
      <c r="H1" s="74"/>
      <c r="I1" s="74"/>
      <c r="J1" s="74"/>
      <c r="K1" s="74"/>
      <c r="L1" s="20"/>
    </row>
    <row r="2" spans="1:13" ht="15.75" customHeight="1" x14ac:dyDescent="0.25">
      <c r="A2" s="18"/>
      <c r="B2" s="18"/>
      <c r="C2" s="76" t="s">
        <v>1</v>
      </c>
      <c r="D2" s="74"/>
      <c r="E2" s="1" t="s">
        <v>2</v>
      </c>
      <c r="F2" s="1"/>
      <c r="G2" s="1"/>
      <c r="H2" s="1"/>
      <c r="I2" s="1"/>
      <c r="J2" s="1"/>
      <c r="K2" s="1"/>
      <c r="L2" s="20"/>
    </row>
    <row r="3" spans="1:13" ht="22.5" customHeight="1" x14ac:dyDescent="0.25">
      <c r="A3" s="18"/>
      <c r="B3" s="18"/>
      <c r="C3" s="76" t="s">
        <v>3</v>
      </c>
      <c r="D3" s="74"/>
      <c r="E3" s="1" t="s">
        <v>4</v>
      </c>
      <c r="F3" s="1"/>
      <c r="G3" s="1"/>
      <c r="H3" s="1"/>
      <c r="I3" s="1"/>
      <c r="J3" s="1"/>
      <c r="K3" s="1"/>
      <c r="L3" s="20"/>
    </row>
    <row r="4" spans="1:13" ht="24" customHeight="1" x14ac:dyDescent="0.25">
      <c r="A4" s="18"/>
      <c r="B4" s="18"/>
      <c r="C4" s="76" t="s">
        <v>5</v>
      </c>
      <c r="D4" s="74"/>
      <c r="E4" s="4">
        <f t="array" aca="1" ref="E4" ca="1">VALUE(MID(CELL("filename", A1), FIND("]", CELL("filename", A1)) + 1, 15))</f>
        <v>46184</v>
      </c>
      <c r="F4" s="3" t="s">
        <v>6</v>
      </c>
      <c r="G4" s="7">
        <v>0.375</v>
      </c>
      <c r="H4" s="3" t="s">
        <v>7</v>
      </c>
      <c r="I4" s="7">
        <v>0.47916666666666669</v>
      </c>
      <c r="J4" s="15"/>
      <c r="K4" s="6"/>
      <c r="L4" s="20"/>
    </row>
    <row r="5" spans="1:13" ht="24" customHeight="1" x14ac:dyDescent="0.25">
      <c r="A5" s="18"/>
      <c r="B5" s="18"/>
      <c r="C5" s="76" t="s">
        <v>8</v>
      </c>
      <c r="D5" s="74"/>
      <c r="E5" s="1" t="s">
        <v>396</v>
      </c>
      <c r="F5" s="1"/>
      <c r="G5" s="7"/>
      <c r="H5" s="1"/>
      <c r="I5" s="7"/>
      <c r="J5" s="1"/>
      <c r="K5" s="1"/>
      <c r="L5" s="20"/>
    </row>
    <row r="6" spans="1:13" ht="151.5" customHeight="1" x14ac:dyDescent="0.25">
      <c r="A6" s="19"/>
      <c r="B6" s="19"/>
      <c r="C6" s="80" t="s">
        <v>10</v>
      </c>
      <c r="D6" s="79"/>
      <c r="E6" s="23" t="s">
        <v>397</v>
      </c>
      <c r="F6" s="78" t="s">
        <v>399</v>
      </c>
      <c r="G6" s="79"/>
      <c r="H6" s="79"/>
      <c r="I6" s="23"/>
      <c r="J6" s="81"/>
      <c r="K6" s="74"/>
      <c r="L6" s="20"/>
      <c r="M6" s="5"/>
    </row>
    <row r="7" spans="1:13" ht="15.75" customHeight="1" x14ac:dyDescent="0.25">
      <c r="A7" s="73" t="s">
        <v>11</v>
      </c>
      <c r="B7" s="74"/>
      <c r="C7" s="74"/>
      <c r="D7" s="74"/>
      <c r="E7" s="75"/>
      <c r="H7" s="5"/>
      <c r="K7" s="5"/>
      <c r="L7" s="20"/>
    </row>
    <row r="8" spans="1:13" ht="15.75" customHeight="1" x14ac:dyDescent="0.25">
      <c r="A8" s="1"/>
      <c r="B8" s="1"/>
      <c r="C8" s="1"/>
      <c r="D8" s="1"/>
      <c r="E8" s="1"/>
      <c r="H8" s="5"/>
      <c r="K8" s="5"/>
      <c r="L8" s="20"/>
    </row>
    <row r="9" spans="1:13" ht="15.75" x14ac:dyDescent="0.25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0" t="s">
        <v>22</v>
      </c>
      <c r="L9" s="20"/>
    </row>
    <row r="10" spans="1:13" ht="31.5" x14ac:dyDescent="0.25">
      <c r="A10" s="21">
        <f t="shared" ref="A10:A23" ca="1" si="0">IF(B10="","",MAX(OFFSET($A$1,0,0,ROW()-1,1))+1)</f>
        <v>1</v>
      </c>
      <c r="B10" s="11" t="s">
        <v>23</v>
      </c>
      <c r="C10" s="9" t="s">
        <v>401</v>
      </c>
      <c r="D10" s="9" t="s">
        <v>402</v>
      </c>
      <c r="E10" s="24" t="s">
        <v>404</v>
      </c>
      <c r="F10" s="28" t="s">
        <v>115</v>
      </c>
      <c r="G10" s="29">
        <v>46184</v>
      </c>
      <c r="H10" s="30" t="s">
        <v>403</v>
      </c>
      <c r="I10" s="22" t="s">
        <v>28</v>
      </c>
      <c r="J10" s="11" t="s">
        <v>69</v>
      </c>
      <c r="K10" s="14"/>
      <c r="L10" s="20"/>
    </row>
    <row r="11" spans="1:13" ht="15.75" x14ac:dyDescent="0.25">
      <c r="A11" s="21">
        <f t="shared" ref="A11" ca="1" si="1">IF(B11="","",MAX(OFFSET($A$1,0,0,ROW()-1,1))+1)</f>
        <v>2</v>
      </c>
      <c r="B11" s="11" t="s">
        <v>23</v>
      </c>
      <c r="C11" s="9" t="s">
        <v>24</v>
      </c>
      <c r="D11" s="9" t="s">
        <v>25</v>
      </c>
      <c r="E11" s="24" t="s">
        <v>26</v>
      </c>
      <c r="F11" s="28" t="s">
        <v>115</v>
      </c>
      <c r="G11" s="29">
        <v>46184</v>
      </c>
      <c r="H11" s="28" t="s">
        <v>27</v>
      </c>
      <c r="I11" s="22" t="s">
        <v>28</v>
      </c>
      <c r="J11" s="11" t="s">
        <v>29</v>
      </c>
      <c r="K11" s="14"/>
      <c r="L11" s="20"/>
    </row>
    <row r="12" spans="1:13" ht="15.75" x14ac:dyDescent="0.25">
      <c r="A12" s="21">
        <f t="shared" ca="1" si="0"/>
        <v>3</v>
      </c>
      <c r="B12" s="11" t="s">
        <v>23</v>
      </c>
      <c r="C12" s="9" t="s">
        <v>24</v>
      </c>
      <c r="D12" s="9" t="s">
        <v>31</v>
      </c>
      <c r="E12" s="24" t="s">
        <v>32</v>
      </c>
      <c r="F12" s="28" t="s">
        <v>115</v>
      </c>
      <c r="G12" s="29">
        <v>46184</v>
      </c>
      <c r="H12" s="28" t="s">
        <v>27</v>
      </c>
      <c r="I12" s="22" t="s">
        <v>28</v>
      </c>
      <c r="J12" s="11" t="s">
        <v>29</v>
      </c>
      <c r="K12" s="14"/>
      <c r="L12" s="20"/>
    </row>
    <row r="13" spans="1:13" ht="31.5" x14ac:dyDescent="0.25">
      <c r="A13" s="21">
        <f t="shared" ca="1" si="0"/>
        <v>4</v>
      </c>
      <c r="B13" s="11" t="s">
        <v>23</v>
      </c>
      <c r="C13" s="9" t="s">
        <v>24</v>
      </c>
      <c r="D13" s="9" t="s">
        <v>34</v>
      </c>
      <c r="E13" s="24" t="s">
        <v>35</v>
      </c>
      <c r="F13" s="28" t="s">
        <v>115</v>
      </c>
      <c r="G13" s="29">
        <v>46184</v>
      </c>
      <c r="H13" s="28" t="s">
        <v>27</v>
      </c>
      <c r="I13" s="22" t="s">
        <v>28</v>
      </c>
      <c r="J13" s="11" t="s">
        <v>29</v>
      </c>
      <c r="K13" s="14"/>
      <c r="L13" s="20"/>
    </row>
    <row r="14" spans="1:13" ht="31.5" x14ac:dyDescent="0.25">
      <c r="A14" s="21">
        <f t="shared" ca="1" si="0"/>
        <v>5</v>
      </c>
      <c r="B14" s="11" t="s">
        <v>23</v>
      </c>
      <c r="C14" s="9" t="s">
        <v>36</v>
      </c>
      <c r="D14" s="9" t="s">
        <v>37</v>
      </c>
      <c r="E14" s="24" t="s">
        <v>38</v>
      </c>
      <c r="F14" s="28" t="s">
        <v>115</v>
      </c>
      <c r="G14" s="29">
        <v>46184</v>
      </c>
      <c r="H14" s="28" t="s">
        <v>27</v>
      </c>
      <c r="I14" s="22" t="s">
        <v>28</v>
      </c>
      <c r="J14" s="11" t="s">
        <v>29</v>
      </c>
      <c r="K14" s="65"/>
      <c r="L14" s="20"/>
    </row>
    <row r="15" spans="1:13" ht="31.5" x14ac:dyDescent="0.25">
      <c r="A15" s="21">
        <f t="shared" ca="1" si="0"/>
        <v>6</v>
      </c>
      <c r="B15" s="11" t="s">
        <v>39</v>
      </c>
      <c r="C15" s="9" t="s">
        <v>36</v>
      </c>
      <c r="D15" s="9" t="s">
        <v>40</v>
      </c>
      <c r="E15" s="24" t="s">
        <v>41</v>
      </c>
      <c r="F15" s="28" t="s">
        <v>115</v>
      </c>
      <c r="G15" s="29">
        <v>46184</v>
      </c>
      <c r="H15" s="28" t="s">
        <v>394</v>
      </c>
      <c r="I15" s="22" t="s">
        <v>28</v>
      </c>
      <c r="J15" s="11" t="s">
        <v>29</v>
      </c>
      <c r="K15" s="14"/>
      <c r="L15" s="20"/>
    </row>
    <row r="16" spans="1:13" ht="31.5" x14ac:dyDescent="0.25">
      <c r="A16" s="21">
        <f t="shared" ca="1" si="0"/>
        <v>7</v>
      </c>
      <c r="B16" s="11" t="s">
        <v>23</v>
      </c>
      <c r="C16" s="9" t="s">
        <v>36</v>
      </c>
      <c r="D16" s="9" t="s">
        <v>43</v>
      </c>
      <c r="E16" s="25" t="s">
        <v>44</v>
      </c>
      <c r="F16" s="28" t="s">
        <v>115</v>
      </c>
      <c r="G16" s="29">
        <v>46184</v>
      </c>
      <c r="H16" s="28" t="s">
        <v>27</v>
      </c>
      <c r="I16" s="22" t="s">
        <v>28</v>
      </c>
      <c r="J16" s="11" t="s">
        <v>29</v>
      </c>
      <c r="K16" s="14"/>
      <c r="L16" s="20"/>
    </row>
    <row r="17" spans="1:12" s="33" customFormat="1" ht="31.5" x14ac:dyDescent="0.25">
      <c r="A17" s="21">
        <f t="shared" ca="1" si="0"/>
        <v>8</v>
      </c>
      <c r="B17" s="11" t="s">
        <v>23</v>
      </c>
      <c r="C17" s="9" t="s">
        <v>45</v>
      </c>
      <c r="D17" s="9" t="s">
        <v>46</v>
      </c>
      <c r="E17" s="68" t="s">
        <v>395</v>
      </c>
      <c r="F17" s="28" t="s">
        <v>115</v>
      </c>
      <c r="G17" s="12">
        <v>46184</v>
      </c>
      <c r="H17" s="28" t="s">
        <v>27</v>
      </c>
      <c r="I17" s="22" t="s">
        <v>28</v>
      </c>
      <c r="J17" s="11" t="s">
        <v>29</v>
      </c>
      <c r="K17" s="14"/>
      <c r="L17" s="32"/>
    </row>
    <row r="18" spans="1:12" ht="31.5" x14ac:dyDescent="0.25">
      <c r="A18" s="21">
        <f t="shared" ca="1" si="0"/>
        <v>9</v>
      </c>
      <c r="B18" s="11" t="s">
        <v>23</v>
      </c>
      <c r="C18" s="9" t="s">
        <v>45</v>
      </c>
      <c r="D18" s="9" t="s">
        <v>48</v>
      </c>
      <c r="E18" s="24" t="s">
        <v>49</v>
      </c>
      <c r="F18" s="28" t="s">
        <v>115</v>
      </c>
      <c r="G18" s="12">
        <v>46184</v>
      </c>
      <c r="H18" s="28" t="s">
        <v>27</v>
      </c>
      <c r="I18" s="22" t="s">
        <v>28</v>
      </c>
      <c r="J18" s="11" t="s">
        <v>29</v>
      </c>
      <c r="K18" s="9"/>
      <c r="L18" s="20"/>
    </row>
    <row r="19" spans="1:12" s="20" customFormat="1" ht="15.75" x14ac:dyDescent="0.25">
      <c r="A19" s="21">
        <f t="shared" ca="1" si="0"/>
        <v>10</v>
      </c>
      <c r="B19" s="11" t="s">
        <v>23</v>
      </c>
      <c r="C19" s="9" t="s">
        <v>45</v>
      </c>
      <c r="D19" s="9" t="s">
        <v>50</v>
      </c>
      <c r="E19" s="24" t="s">
        <v>51</v>
      </c>
      <c r="F19" s="28" t="s">
        <v>115</v>
      </c>
      <c r="G19" s="12">
        <v>46184</v>
      </c>
      <c r="H19" s="28" t="s">
        <v>27</v>
      </c>
      <c r="I19" s="12" t="s">
        <v>28</v>
      </c>
      <c r="J19" s="11" t="s">
        <v>29</v>
      </c>
      <c r="K19" s="9"/>
    </row>
    <row r="20" spans="1:12" s="20" customFormat="1" ht="31.5" x14ac:dyDescent="0.25">
      <c r="A20" s="21">
        <f t="shared" ca="1" si="0"/>
        <v>11</v>
      </c>
      <c r="B20" s="11" t="s">
        <v>23</v>
      </c>
      <c r="C20" s="9" t="s">
        <v>53</v>
      </c>
      <c r="D20" s="9" t="s">
        <v>54</v>
      </c>
      <c r="E20" s="24" t="s">
        <v>55</v>
      </c>
      <c r="F20" s="28" t="s">
        <v>115</v>
      </c>
      <c r="G20" s="12">
        <v>46184</v>
      </c>
      <c r="H20" s="28" t="s">
        <v>27</v>
      </c>
      <c r="I20" s="12" t="s">
        <v>28</v>
      </c>
      <c r="J20" s="11" t="s">
        <v>29</v>
      </c>
      <c r="K20" s="27"/>
    </row>
    <row r="21" spans="1:12" ht="15.75" x14ac:dyDescent="0.25">
      <c r="A21" s="21">
        <f t="shared" ca="1" si="0"/>
        <v>12</v>
      </c>
      <c r="B21" s="11" t="s">
        <v>39</v>
      </c>
      <c r="C21" s="9" t="s">
        <v>56</v>
      </c>
      <c r="D21" s="11" t="s">
        <v>57</v>
      </c>
      <c r="E21" s="24" t="s">
        <v>58</v>
      </c>
      <c r="F21" s="28" t="s">
        <v>115</v>
      </c>
      <c r="G21" s="12">
        <v>46184</v>
      </c>
      <c r="H21" s="28" t="s">
        <v>27</v>
      </c>
      <c r="I21" s="11" t="s">
        <v>28</v>
      </c>
      <c r="J21" s="11" t="s">
        <v>29</v>
      </c>
      <c r="K21" s="14"/>
      <c r="L21" s="20"/>
    </row>
    <row r="22" spans="1:12" ht="15.75" x14ac:dyDescent="0.25">
      <c r="A22" s="21">
        <f t="shared" ca="1" si="0"/>
        <v>13</v>
      </c>
      <c r="B22" s="34" t="s">
        <v>39</v>
      </c>
      <c r="C22" s="35" t="s">
        <v>56</v>
      </c>
      <c r="D22" s="34" t="s">
        <v>59</v>
      </c>
      <c r="E22" s="69" t="s">
        <v>60</v>
      </c>
      <c r="F22" s="28" t="s">
        <v>115</v>
      </c>
      <c r="G22" s="29">
        <v>46184</v>
      </c>
      <c r="H22" s="36" t="s">
        <v>27</v>
      </c>
      <c r="I22" s="34" t="s">
        <v>28</v>
      </c>
      <c r="J22" s="11" t="s">
        <v>29</v>
      </c>
      <c r="K22" s="35"/>
      <c r="L22" s="20"/>
    </row>
    <row r="23" spans="1:12" ht="31.5" x14ac:dyDescent="0.25">
      <c r="A23" s="21">
        <f t="shared" ca="1" si="0"/>
        <v>14</v>
      </c>
      <c r="B23" s="11" t="s">
        <v>39</v>
      </c>
      <c r="C23" s="9" t="s">
        <v>56</v>
      </c>
      <c r="D23" s="11" t="s">
        <v>62</v>
      </c>
      <c r="E23" s="9" t="s">
        <v>63</v>
      </c>
      <c r="F23" s="28" t="s">
        <v>115</v>
      </c>
      <c r="G23" s="29">
        <v>46184</v>
      </c>
      <c r="H23" s="37" t="s">
        <v>27</v>
      </c>
      <c r="I23" s="11" t="s">
        <v>28</v>
      </c>
      <c r="J23" s="11" t="s">
        <v>29</v>
      </c>
      <c r="K23" s="9"/>
    </row>
    <row r="24" spans="1:12" ht="31.5" customHeight="1" x14ac:dyDescent="0.25"/>
    <row r="25" spans="1:12" s="17" customFormat="1" ht="31.5" customHeight="1" x14ac:dyDescent="0.25">
      <c r="E25" s="16"/>
    </row>
    <row r="26" spans="1:12" s="17" customFormat="1" ht="31.5" hidden="1" customHeight="1" x14ac:dyDescent="0.25"/>
    <row r="27" spans="1:12" ht="31.5" hidden="1" customHeight="1" x14ac:dyDescent="0.25">
      <c r="E27"/>
    </row>
    <row r="28" spans="1:12" s="17" customFormat="1" ht="31.5" hidden="1" customHeight="1" x14ac:dyDescent="0.25"/>
    <row r="29" spans="1:12" ht="31.5" hidden="1" customHeight="1" x14ac:dyDescent="0.25">
      <c r="E29"/>
    </row>
    <row r="30" spans="1:12" ht="47.25" hidden="1" customHeight="1" x14ac:dyDescent="0.25">
      <c r="E30"/>
    </row>
    <row r="31" spans="1:12" ht="31.5" hidden="1" customHeight="1" x14ac:dyDescent="0.25">
      <c r="E31"/>
    </row>
    <row r="32" spans="1:12" ht="31.5" customHeight="1" x14ac:dyDescent="0.25"/>
    <row r="33" spans="5:5" ht="47.25" customHeight="1" x14ac:dyDescent="0.25"/>
    <row r="34" spans="5:5" ht="47.25" customHeight="1" x14ac:dyDescent="0.25"/>
    <row r="35" spans="5:5" ht="15.75" customHeight="1" x14ac:dyDescent="0.25"/>
    <row r="36" spans="5:5" ht="47.25" hidden="1" customHeight="1" x14ac:dyDescent="0.25">
      <c r="E36"/>
    </row>
    <row r="37" spans="5:5" ht="31.5" hidden="1" customHeight="1" x14ac:dyDescent="0.25">
      <c r="E37"/>
    </row>
    <row r="38" spans="5:5" ht="15.75" customHeight="1" x14ac:dyDescent="0.25"/>
    <row r="39" spans="5:5" ht="47.25" customHeight="1" x14ac:dyDescent="0.25"/>
    <row r="40" spans="5:5" ht="63" customHeight="1" x14ac:dyDescent="0.25"/>
    <row r="41" spans="5:5" ht="63" customHeight="1" x14ac:dyDescent="0.25"/>
    <row r="42" spans="5:5" ht="47.25" customHeight="1" x14ac:dyDescent="0.25"/>
    <row r="43" spans="5:5" ht="47.25" customHeight="1" x14ac:dyDescent="0.25"/>
    <row r="44" spans="5:5" ht="47.25" customHeight="1" x14ac:dyDescent="0.25"/>
    <row r="45" spans="5:5" ht="47.25" hidden="1" customHeight="1" x14ac:dyDescent="0.25">
      <c r="E45"/>
    </row>
    <row r="46" spans="5:5" ht="47.25" hidden="1" customHeight="1" x14ac:dyDescent="0.25">
      <c r="E46"/>
    </row>
    <row r="47" spans="5:5" ht="15.75" customHeight="1" x14ac:dyDescent="0.25"/>
    <row r="48" spans="5:5" ht="15.75" customHeight="1" x14ac:dyDescent="0.25"/>
  </sheetData>
  <mergeCells count="9">
    <mergeCell ref="A7:E7"/>
    <mergeCell ref="C5:D5"/>
    <mergeCell ref="C3:D3"/>
    <mergeCell ref="A1:K1"/>
    <mergeCell ref="C4:D4"/>
    <mergeCell ref="F6:H6"/>
    <mergeCell ref="C6:D6"/>
    <mergeCell ref="C2:D2"/>
    <mergeCell ref="J6:K6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126"/>
  <sheetViews>
    <sheetView topLeftCell="B1" zoomScale="111" workbookViewId="0">
      <pane ySplit="3" topLeftCell="A64" activePane="bottomLeft" state="frozen"/>
      <selection pane="bottomLeft" activeCell="I33" sqref="I33"/>
    </sheetView>
  </sheetViews>
  <sheetFormatPr defaultRowHeight="15" x14ac:dyDescent="0.25"/>
  <cols>
    <col min="1" max="1" width="31.42578125" bestFit="1" customWidth="1"/>
    <col min="2" max="2" width="33.85546875" bestFit="1" customWidth="1"/>
    <col min="3" max="3" width="88.7109375" customWidth="1"/>
    <col min="4" max="4" width="16.42578125" bestFit="1" customWidth="1"/>
    <col min="5" max="5" width="13.140625" bestFit="1" customWidth="1"/>
    <col min="6" max="6" width="9.5703125" style="52" customWidth="1"/>
    <col min="7" max="7" width="9.5703125" customWidth="1"/>
    <col min="8" max="8" width="14.85546875" bestFit="1" customWidth="1"/>
    <col min="9" max="9" width="8.28515625" style="55" bestFit="1" customWidth="1"/>
    <col min="10" max="13" width="5.28515625" customWidth="1"/>
    <col min="14" max="14" width="8.85546875" customWidth="1"/>
    <col min="15" max="15" width="9.28515625" customWidth="1"/>
    <col min="16" max="57" width="5.28515625" customWidth="1"/>
  </cols>
  <sheetData>
    <row r="1" spans="1:57" x14ac:dyDescent="0.25">
      <c r="A1" s="84" t="s">
        <v>186</v>
      </c>
      <c r="B1" s="84" t="s">
        <v>187</v>
      </c>
      <c r="C1" s="84" t="s">
        <v>188</v>
      </c>
      <c r="D1" s="58" t="s">
        <v>159</v>
      </c>
      <c r="E1" s="84" t="s">
        <v>189</v>
      </c>
      <c r="F1" s="84" t="s">
        <v>190</v>
      </c>
      <c r="G1" s="84" t="s">
        <v>191</v>
      </c>
      <c r="H1" s="84" t="s">
        <v>192</v>
      </c>
      <c r="I1" s="84" t="s">
        <v>193</v>
      </c>
      <c r="J1" s="85" t="s">
        <v>194</v>
      </c>
      <c r="K1" s="74"/>
      <c r="L1" s="74"/>
      <c r="M1" s="74"/>
      <c r="N1" s="85" t="s">
        <v>195</v>
      </c>
      <c r="O1" s="74"/>
      <c r="P1" s="74"/>
      <c r="Q1" s="74"/>
      <c r="R1" s="85" t="s">
        <v>196</v>
      </c>
      <c r="S1" s="74"/>
      <c r="T1" s="74"/>
      <c r="U1" s="74"/>
      <c r="V1" s="85" t="s">
        <v>197</v>
      </c>
      <c r="W1" s="74"/>
      <c r="X1" s="74"/>
      <c r="Y1" s="74"/>
      <c r="Z1" s="85" t="s">
        <v>198</v>
      </c>
      <c r="AA1" s="74"/>
      <c r="AB1" s="74"/>
      <c r="AC1" s="74"/>
      <c r="AD1" s="85" t="s">
        <v>199</v>
      </c>
      <c r="AE1" s="74"/>
      <c r="AF1" s="74"/>
      <c r="AG1" s="74"/>
      <c r="AH1" s="85" t="s">
        <v>200</v>
      </c>
      <c r="AI1" s="74"/>
      <c r="AJ1" s="74"/>
      <c r="AK1" s="74"/>
      <c r="AL1" s="85" t="s">
        <v>201</v>
      </c>
      <c r="AM1" s="74"/>
      <c r="AN1" s="74"/>
      <c r="AO1" s="74"/>
      <c r="AP1" s="85" t="s">
        <v>202</v>
      </c>
      <c r="AQ1" s="74"/>
      <c r="AR1" s="74"/>
      <c r="AS1" s="74"/>
      <c r="AT1" s="85" t="s">
        <v>203</v>
      </c>
      <c r="AU1" s="74"/>
      <c r="AV1" s="74"/>
      <c r="AW1" s="74"/>
      <c r="AX1" s="85" t="s">
        <v>204</v>
      </c>
      <c r="AY1" s="74"/>
      <c r="AZ1" s="74"/>
      <c r="BA1" s="74"/>
      <c r="BB1" s="85" t="s">
        <v>205</v>
      </c>
      <c r="BC1" s="74"/>
      <c r="BD1" s="74"/>
      <c r="BE1" s="74"/>
    </row>
    <row r="2" spans="1:57" x14ac:dyDescent="0.25">
      <c r="A2" s="74"/>
      <c r="B2" s="74"/>
      <c r="C2" s="74"/>
      <c r="D2" s="58"/>
      <c r="E2" s="74"/>
      <c r="F2" s="87"/>
      <c r="G2" s="74"/>
      <c r="H2" s="74"/>
      <c r="I2" s="86"/>
      <c r="J2" s="39" t="s">
        <v>206</v>
      </c>
      <c r="K2" s="39" t="s">
        <v>207</v>
      </c>
      <c r="L2" s="39" t="s">
        <v>208</v>
      </c>
      <c r="M2" s="39" t="s">
        <v>209</v>
      </c>
      <c r="N2" s="39" t="s">
        <v>206</v>
      </c>
      <c r="O2" s="39" t="s">
        <v>207</v>
      </c>
      <c r="P2" s="39" t="s">
        <v>208</v>
      </c>
      <c r="Q2" s="39" t="s">
        <v>209</v>
      </c>
      <c r="R2" s="39" t="s">
        <v>206</v>
      </c>
      <c r="S2" s="39" t="s">
        <v>207</v>
      </c>
      <c r="T2" s="39" t="s">
        <v>208</v>
      </c>
      <c r="U2" s="39" t="s">
        <v>209</v>
      </c>
      <c r="V2" s="39" t="s">
        <v>206</v>
      </c>
      <c r="W2" s="39" t="s">
        <v>207</v>
      </c>
      <c r="X2" s="39" t="s">
        <v>208</v>
      </c>
      <c r="Y2" s="39" t="s">
        <v>209</v>
      </c>
      <c r="Z2" s="39" t="s">
        <v>206</v>
      </c>
      <c r="AA2" s="39" t="s">
        <v>207</v>
      </c>
      <c r="AB2" s="39" t="s">
        <v>208</v>
      </c>
      <c r="AC2" s="39" t="s">
        <v>209</v>
      </c>
      <c r="AD2" s="39" t="s">
        <v>206</v>
      </c>
      <c r="AE2" s="39" t="s">
        <v>207</v>
      </c>
      <c r="AF2" s="39" t="s">
        <v>208</v>
      </c>
      <c r="AG2" s="39" t="s">
        <v>209</v>
      </c>
      <c r="AH2" s="39" t="s">
        <v>206</v>
      </c>
      <c r="AI2" s="39" t="s">
        <v>207</v>
      </c>
      <c r="AJ2" s="39" t="s">
        <v>208</v>
      </c>
      <c r="AK2" s="39" t="s">
        <v>209</v>
      </c>
      <c r="AL2" s="39" t="s">
        <v>206</v>
      </c>
      <c r="AM2" s="39" t="s">
        <v>207</v>
      </c>
      <c r="AN2" s="39" t="s">
        <v>208</v>
      </c>
      <c r="AO2" s="39" t="s">
        <v>209</v>
      </c>
      <c r="AP2" s="39" t="s">
        <v>206</v>
      </c>
      <c r="AQ2" s="39" t="s">
        <v>207</v>
      </c>
      <c r="AR2" s="39" t="s">
        <v>208</v>
      </c>
      <c r="AS2" s="39" t="s">
        <v>209</v>
      </c>
      <c r="AT2" s="39" t="s">
        <v>206</v>
      </c>
      <c r="AU2" s="39" t="s">
        <v>207</v>
      </c>
      <c r="AV2" s="39" t="s">
        <v>208</v>
      </c>
      <c r="AW2" s="39" t="s">
        <v>209</v>
      </c>
      <c r="AX2" s="39" t="s">
        <v>206</v>
      </c>
      <c r="AY2" s="39" t="s">
        <v>207</v>
      </c>
      <c r="AZ2" s="39" t="s">
        <v>208</v>
      </c>
      <c r="BA2" s="39" t="s">
        <v>209</v>
      </c>
      <c r="BB2" s="39" t="s">
        <v>206</v>
      </c>
      <c r="BC2" s="39" t="s">
        <v>207</v>
      </c>
      <c r="BD2" s="39" t="s">
        <v>208</v>
      </c>
      <c r="BE2" s="39" t="s">
        <v>209</v>
      </c>
    </row>
    <row r="3" spans="1:57" ht="69.75" customHeight="1" x14ac:dyDescent="0.25">
      <c r="A3" s="74"/>
      <c r="B3" s="74"/>
      <c r="C3" s="74"/>
      <c r="D3" s="58"/>
      <c r="E3" s="74"/>
      <c r="F3" s="87"/>
      <c r="G3" s="74"/>
      <c r="H3" s="74"/>
      <c r="I3" s="86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</row>
    <row r="4" spans="1:57" x14ac:dyDescent="0.25">
      <c r="A4" s="40" t="s">
        <v>210</v>
      </c>
      <c r="B4" s="40" t="s">
        <v>211</v>
      </c>
      <c r="C4" s="40" t="s">
        <v>212</v>
      </c>
      <c r="D4" s="40" t="s">
        <v>213</v>
      </c>
      <c r="E4" s="40" t="s">
        <v>214</v>
      </c>
      <c r="F4" s="50" t="s">
        <v>215</v>
      </c>
      <c r="G4" s="40" t="s">
        <v>216</v>
      </c>
      <c r="H4" s="40"/>
      <c r="I4" s="53">
        <v>1</v>
      </c>
      <c r="J4" s="47"/>
      <c r="K4" s="47"/>
      <c r="L4" s="47"/>
      <c r="M4" s="47"/>
      <c r="N4" s="47"/>
      <c r="O4" s="47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</row>
    <row r="5" spans="1:57" x14ac:dyDescent="0.25">
      <c r="A5" s="45" t="s">
        <v>100</v>
      </c>
      <c r="B5" s="45" t="s">
        <v>217</v>
      </c>
      <c r="C5" s="46" t="s">
        <v>218</v>
      </c>
      <c r="D5" s="40"/>
      <c r="E5" s="40" t="s">
        <v>214</v>
      </c>
      <c r="F5" s="51" t="s">
        <v>215</v>
      </c>
      <c r="G5" s="44" t="s">
        <v>219</v>
      </c>
      <c r="H5" s="44"/>
      <c r="I5" s="54">
        <v>1</v>
      </c>
      <c r="J5" s="47"/>
      <c r="K5" s="47"/>
      <c r="L5" s="47"/>
      <c r="M5" s="47"/>
      <c r="N5" s="47"/>
      <c r="O5" s="47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</row>
    <row r="6" spans="1:57" x14ac:dyDescent="0.25">
      <c r="A6" s="40" t="s">
        <v>220</v>
      </c>
      <c r="B6" s="40" t="s">
        <v>221</v>
      </c>
      <c r="C6" s="40" t="s">
        <v>222</v>
      </c>
      <c r="D6" s="40"/>
      <c r="E6" s="40" t="s">
        <v>214</v>
      </c>
      <c r="F6" s="50" t="s">
        <v>215</v>
      </c>
      <c r="G6" s="40" t="s">
        <v>216</v>
      </c>
      <c r="H6" s="40"/>
      <c r="I6" s="53">
        <v>1</v>
      </c>
      <c r="J6" s="47"/>
      <c r="K6" s="47"/>
      <c r="L6" s="47"/>
      <c r="M6" s="47"/>
      <c r="N6" s="47"/>
      <c r="O6" s="47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</row>
    <row r="7" spans="1:57" x14ac:dyDescent="0.25">
      <c r="A7" s="40" t="s">
        <v>220</v>
      </c>
      <c r="B7" s="40" t="s">
        <v>223</v>
      </c>
      <c r="C7" s="44" t="s">
        <v>224</v>
      </c>
      <c r="D7" s="44"/>
      <c r="E7" s="49" t="s">
        <v>76</v>
      </c>
      <c r="F7" s="51"/>
      <c r="G7" s="44" t="s">
        <v>216</v>
      </c>
      <c r="H7" s="44"/>
      <c r="I7" s="54">
        <v>1</v>
      </c>
      <c r="J7" s="47"/>
      <c r="K7" s="47"/>
      <c r="L7" s="47"/>
      <c r="M7" s="47"/>
      <c r="N7" s="47"/>
      <c r="O7" s="47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</row>
    <row r="8" spans="1:57" ht="30" customHeight="1" x14ac:dyDescent="0.25">
      <c r="A8" s="45" t="s">
        <v>220</v>
      </c>
      <c r="B8" s="45" t="s">
        <v>225</v>
      </c>
      <c r="C8" s="46" t="s">
        <v>226</v>
      </c>
      <c r="D8" s="40" t="s">
        <v>213</v>
      </c>
      <c r="E8" s="46" t="s">
        <v>214</v>
      </c>
      <c r="F8" s="51" t="s">
        <v>215</v>
      </c>
      <c r="G8" s="44" t="s">
        <v>216</v>
      </c>
      <c r="H8" s="44"/>
      <c r="I8" s="54">
        <v>1</v>
      </c>
      <c r="J8" s="47"/>
      <c r="K8" s="47"/>
      <c r="L8" s="47"/>
      <c r="M8" s="47"/>
      <c r="N8" s="47"/>
      <c r="O8" s="47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</row>
    <row r="9" spans="1:57" x14ac:dyDescent="0.25">
      <c r="A9" s="40" t="s">
        <v>227</v>
      </c>
      <c r="B9" s="40" t="s">
        <v>228</v>
      </c>
      <c r="C9" s="40" t="s">
        <v>229</v>
      </c>
      <c r="D9" s="40"/>
      <c r="E9" s="40" t="s">
        <v>214</v>
      </c>
      <c r="F9" s="51" t="s">
        <v>215</v>
      </c>
      <c r="G9" s="44" t="s">
        <v>219</v>
      </c>
      <c r="H9" s="44"/>
      <c r="I9" s="54">
        <v>1</v>
      </c>
      <c r="J9" s="47"/>
      <c r="K9" s="47"/>
      <c r="L9" s="47"/>
      <c r="M9" s="47"/>
      <c r="N9" s="47"/>
      <c r="O9" s="47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</row>
    <row r="10" spans="1:57" x14ac:dyDescent="0.25">
      <c r="A10" s="40" t="s">
        <v>230</v>
      </c>
      <c r="B10" s="40" t="s">
        <v>231</v>
      </c>
      <c r="C10" s="40" t="s">
        <v>232</v>
      </c>
      <c r="D10" s="40"/>
      <c r="E10" s="40" t="s">
        <v>214</v>
      </c>
      <c r="F10" s="51" t="s">
        <v>233</v>
      </c>
      <c r="G10" s="44" t="s">
        <v>234</v>
      </c>
      <c r="H10" s="44"/>
      <c r="I10" s="54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</row>
    <row r="11" spans="1:57" x14ac:dyDescent="0.25">
      <c r="A11" s="45" t="s">
        <v>230</v>
      </c>
      <c r="B11" s="45" t="s">
        <v>235</v>
      </c>
      <c r="C11" s="46" t="s">
        <v>236</v>
      </c>
      <c r="D11" s="46"/>
      <c r="E11" s="46" t="s">
        <v>214</v>
      </c>
      <c r="F11" s="51" t="s">
        <v>237</v>
      </c>
      <c r="G11" s="44" t="s">
        <v>219</v>
      </c>
      <c r="H11" s="44"/>
      <c r="I11" s="54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</row>
    <row r="12" spans="1:57" x14ac:dyDescent="0.25">
      <c r="A12" s="40" t="s">
        <v>210</v>
      </c>
      <c r="B12" s="40" t="s">
        <v>124</v>
      </c>
      <c r="C12" s="40" t="s">
        <v>125</v>
      </c>
      <c r="D12" s="40"/>
      <c r="E12" s="40" t="s">
        <v>214</v>
      </c>
      <c r="F12" s="51" t="s">
        <v>215</v>
      </c>
      <c r="G12" s="44" t="s">
        <v>216</v>
      </c>
      <c r="H12" s="44"/>
      <c r="I12" s="54">
        <v>2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</row>
    <row r="13" spans="1:57" x14ac:dyDescent="0.25">
      <c r="A13" s="40" t="s">
        <v>238</v>
      </c>
      <c r="B13" s="40" t="s">
        <v>239</v>
      </c>
      <c r="C13" s="40" t="s">
        <v>240</v>
      </c>
      <c r="D13" s="40"/>
      <c r="E13" s="40" t="s">
        <v>214</v>
      </c>
      <c r="F13" s="51" t="s">
        <v>237</v>
      </c>
      <c r="G13" s="44" t="s">
        <v>216</v>
      </c>
      <c r="H13" s="44"/>
      <c r="I13" s="54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</row>
    <row r="14" spans="1:57" x14ac:dyDescent="0.25">
      <c r="A14" s="40" t="s">
        <v>238</v>
      </c>
      <c r="B14" s="40" t="s">
        <v>239</v>
      </c>
      <c r="C14" s="40" t="s">
        <v>241</v>
      </c>
      <c r="D14" s="40"/>
      <c r="E14" s="40" t="s">
        <v>214</v>
      </c>
      <c r="F14" s="51" t="s">
        <v>237</v>
      </c>
      <c r="G14" s="44" t="s">
        <v>216</v>
      </c>
      <c r="H14" s="44"/>
      <c r="I14" s="54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</row>
    <row r="15" spans="1:57" x14ac:dyDescent="0.25">
      <c r="A15" s="40" t="s">
        <v>238</v>
      </c>
      <c r="B15" s="40" t="s">
        <v>239</v>
      </c>
      <c r="C15" s="40" t="s">
        <v>242</v>
      </c>
      <c r="D15" s="40"/>
      <c r="E15" s="40" t="s">
        <v>214</v>
      </c>
      <c r="F15" s="51" t="s">
        <v>237</v>
      </c>
      <c r="G15" s="44" t="s">
        <v>216</v>
      </c>
      <c r="H15" s="44"/>
      <c r="I15" s="54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</row>
    <row r="16" spans="1:57" x14ac:dyDescent="0.25">
      <c r="A16" s="40" t="s">
        <v>238</v>
      </c>
      <c r="B16" s="40" t="s">
        <v>239</v>
      </c>
      <c r="C16" s="40" t="s">
        <v>243</v>
      </c>
      <c r="D16" s="40"/>
      <c r="E16" s="40" t="s">
        <v>214</v>
      </c>
      <c r="F16" s="51" t="s">
        <v>237</v>
      </c>
      <c r="G16" s="44" t="s">
        <v>216</v>
      </c>
      <c r="H16" s="44"/>
      <c r="I16" s="54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</row>
    <row r="17" spans="1:57" x14ac:dyDescent="0.25">
      <c r="A17" s="40" t="s">
        <v>238</v>
      </c>
      <c r="B17" s="40" t="s">
        <v>239</v>
      </c>
      <c r="C17" s="40" t="s">
        <v>244</v>
      </c>
      <c r="D17" s="40"/>
      <c r="E17" s="40" t="s">
        <v>214</v>
      </c>
      <c r="F17" s="51" t="s">
        <v>237</v>
      </c>
      <c r="G17" s="44" t="s">
        <v>216</v>
      </c>
      <c r="H17" s="44"/>
      <c r="I17" s="54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</row>
    <row r="18" spans="1:57" x14ac:dyDescent="0.25">
      <c r="A18" s="40" t="s">
        <v>238</v>
      </c>
      <c r="B18" s="40" t="s">
        <v>239</v>
      </c>
      <c r="C18" s="40" t="s">
        <v>245</v>
      </c>
      <c r="D18" s="40"/>
      <c r="E18" s="40" t="s">
        <v>214</v>
      </c>
      <c r="F18" s="51" t="s">
        <v>237</v>
      </c>
      <c r="G18" s="44" t="s">
        <v>216</v>
      </c>
      <c r="H18" s="44"/>
      <c r="I18" s="54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</row>
    <row r="19" spans="1:57" x14ac:dyDescent="0.25">
      <c r="A19" s="40" t="s">
        <v>210</v>
      </c>
      <c r="B19" s="40" t="s">
        <v>246</v>
      </c>
      <c r="C19" s="40" t="s">
        <v>247</v>
      </c>
      <c r="D19" s="40"/>
      <c r="E19" s="40" t="s">
        <v>76</v>
      </c>
      <c r="F19" s="51"/>
      <c r="G19" s="44" t="s">
        <v>234</v>
      </c>
      <c r="H19" s="44"/>
      <c r="I19" s="54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</row>
    <row r="20" spans="1:57" x14ac:dyDescent="0.25">
      <c r="A20" s="40" t="s">
        <v>210</v>
      </c>
      <c r="B20" s="40" t="s">
        <v>248</v>
      </c>
      <c r="C20" s="40" t="s">
        <v>249</v>
      </c>
      <c r="D20" s="40"/>
      <c r="E20" s="40" t="s">
        <v>76</v>
      </c>
      <c r="F20" s="51"/>
      <c r="G20" s="44" t="s">
        <v>216</v>
      </c>
      <c r="H20" s="44"/>
      <c r="I20" s="54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</row>
    <row r="21" spans="1:57" x14ac:dyDescent="0.25">
      <c r="A21" s="40" t="s">
        <v>210</v>
      </c>
      <c r="B21" s="40" t="s">
        <v>246</v>
      </c>
      <c r="C21" s="40" t="s">
        <v>250</v>
      </c>
      <c r="D21" s="40"/>
      <c r="E21" s="40" t="s">
        <v>76</v>
      </c>
      <c r="F21" s="51"/>
      <c r="G21" s="44" t="s">
        <v>234</v>
      </c>
      <c r="H21" s="44"/>
      <c r="I21" s="54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</row>
    <row r="22" spans="1:57" x14ac:dyDescent="0.25">
      <c r="A22" s="40" t="s">
        <v>238</v>
      </c>
      <c r="B22" s="40" t="s">
        <v>248</v>
      </c>
      <c r="C22" s="40" t="s">
        <v>251</v>
      </c>
      <c r="D22" s="40"/>
      <c r="E22" s="40" t="s">
        <v>76</v>
      </c>
      <c r="F22" s="51"/>
      <c r="G22" s="44" t="s">
        <v>216</v>
      </c>
      <c r="H22" s="44"/>
      <c r="I22" s="54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</row>
    <row r="23" spans="1:57" x14ac:dyDescent="0.25">
      <c r="A23" s="40" t="s">
        <v>238</v>
      </c>
      <c r="B23" s="40" t="s">
        <v>248</v>
      </c>
      <c r="C23" s="40" t="s">
        <v>252</v>
      </c>
      <c r="D23" s="40"/>
      <c r="E23" s="40" t="s">
        <v>76</v>
      </c>
      <c r="F23" s="51"/>
      <c r="G23" s="44" t="s">
        <v>216</v>
      </c>
      <c r="H23" s="44"/>
      <c r="I23" s="54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</row>
    <row r="24" spans="1:57" x14ac:dyDescent="0.25">
      <c r="A24" s="40" t="s">
        <v>227</v>
      </c>
      <c r="B24" s="40" t="s">
        <v>248</v>
      </c>
      <c r="C24" s="40" t="s">
        <v>253</v>
      </c>
      <c r="D24" s="40"/>
      <c r="E24" s="40" t="s">
        <v>76</v>
      </c>
      <c r="F24" s="51"/>
      <c r="G24" s="44" t="s">
        <v>219</v>
      </c>
      <c r="H24" s="44"/>
      <c r="I24" s="54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</row>
    <row r="25" spans="1:57" x14ac:dyDescent="0.25">
      <c r="A25" s="40" t="s">
        <v>210</v>
      </c>
      <c r="B25" s="40" t="s">
        <v>254</v>
      </c>
      <c r="C25" s="40" t="s">
        <v>255</v>
      </c>
      <c r="D25" s="40"/>
      <c r="E25" s="40" t="s">
        <v>214</v>
      </c>
      <c r="F25" s="51" t="s">
        <v>237</v>
      </c>
      <c r="G25" s="44" t="s">
        <v>216</v>
      </c>
      <c r="H25" s="44"/>
      <c r="I25" s="54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</row>
    <row r="26" spans="1:57" x14ac:dyDescent="0.25">
      <c r="A26" s="40" t="s">
        <v>210</v>
      </c>
      <c r="B26" s="40" t="s">
        <v>256</v>
      </c>
      <c r="C26" s="40" t="s">
        <v>257</v>
      </c>
      <c r="D26" s="40"/>
      <c r="E26" s="40" t="s">
        <v>214</v>
      </c>
      <c r="F26" s="51" t="s">
        <v>237</v>
      </c>
      <c r="G26" s="44" t="s">
        <v>216</v>
      </c>
      <c r="H26" s="44"/>
      <c r="I26" s="54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</row>
    <row r="27" spans="1:57" x14ac:dyDescent="0.25">
      <c r="A27" s="40" t="s">
        <v>210</v>
      </c>
      <c r="B27" s="40" t="s">
        <v>256</v>
      </c>
      <c r="C27" s="40" t="s">
        <v>258</v>
      </c>
      <c r="D27" s="40"/>
      <c r="E27" s="40" t="s">
        <v>214</v>
      </c>
      <c r="F27" s="51" t="s">
        <v>237</v>
      </c>
      <c r="G27" s="44" t="s">
        <v>216</v>
      </c>
      <c r="H27" s="44"/>
      <c r="I27" s="54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</row>
    <row r="28" spans="1:57" x14ac:dyDescent="0.25">
      <c r="A28" s="40" t="s">
        <v>230</v>
      </c>
      <c r="B28" s="40" t="s">
        <v>259</v>
      </c>
      <c r="C28" s="40" t="s">
        <v>260</v>
      </c>
      <c r="D28" s="40"/>
      <c r="E28" s="40" t="s">
        <v>214</v>
      </c>
      <c r="F28" s="51" t="s">
        <v>237</v>
      </c>
      <c r="G28" s="44" t="s">
        <v>219</v>
      </c>
      <c r="H28" s="44"/>
      <c r="I28" s="54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</row>
    <row r="29" spans="1:57" x14ac:dyDescent="0.25">
      <c r="A29" s="40" t="s">
        <v>238</v>
      </c>
      <c r="B29" s="40" t="s">
        <v>261</v>
      </c>
      <c r="C29" s="40" t="s">
        <v>262</v>
      </c>
      <c r="D29" s="40"/>
      <c r="E29" s="40" t="s">
        <v>76</v>
      </c>
      <c r="F29" s="51"/>
      <c r="G29" s="44" t="s">
        <v>216</v>
      </c>
      <c r="H29" s="44"/>
      <c r="I29" s="54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</row>
    <row r="30" spans="1:57" x14ac:dyDescent="0.25">
      <c r="A30" s="40" t="s">
        <v>238</v>
      </c>
      <c r="B30" s="40" t="s">
        <v>263</v>
      </c>
      <c r="C30" s="40" t="s">
        <v>264</v>
      </c>
      <c r="D30" s="40"/>
      <c r="E30" s="40" t="s">
        <v>76</v>
      </c>
      <c r="F30" s="51"/>
      <c r="G30" s="44" t="s">
        <v>216</v>
      </c>
      <c r="H30" s="44"/>
      <c r="I30" s="54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</row>
    <row r="31" spans="1:57" x14ac:dyDescent="0.25">
      <c r="A31" s="40" t="s">
        <v>238</v>
      </c>
      <c r="B31" s="40" t="s">
        <v>263</v>
      </c>
      <c r="C31" s="40" t="s">
        <v>265</v>
      </c>
      <c r="D31" s="40"/>
      <c r="E31" s="40" t="s">
        <v>76</v>
      </c>
      <c r="F31" s="51"/>
      <c r="G31" s="44" t="s">
        <v>216</v>
      </c>
      <c r="H31" s="44"/>
      <c r="I31" s="54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</row>
    <row r="32" spans="1:57" ht="30" customHeight="1" x14ac:dyDescent="0.25">
      <c r="A32" s="33" t="s">
        <v>153</v>
      </c>
      <c r="B32" s="33" t="s">
        <v>266</v>
      </c>
      <c r="C32" s="56" t="s">
        <v>267</v>
      </c>
      <c r="D32" s="56"/>
      <c r="E32" s="45" t="s">
        <v>214</v>
      </c>
      <c r="F32" s="50" t="s">
        <v>233</v>
      </c>
      <c r="G32" s="44" t="s">
        <v>219</v>
      </c>
      <c r="H32" s="40"/>
      <c r="I32" s="53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</row>
    <row r="33" spans="1:57" ht="30" customHeight="1" x14ac:dyDescent="0.25">
      <c r="A33" s="33" t="s">
        <v>153</v>
      </c>
      <c r="B33" s="33" t="s">
        <v>266</v>
      </c>
      <c r="C33" s="56" t="s">
        <v>268</v>
      </c>
      <c r="D33" s="40"/>
      <c r="E33" s="40" t="s">
        <v>214</v>
      </c>
      <c r="F33" s="50" t="s">
        <v>215</v>
      </c>
      <c r="G33" s="44" t="s">
        <v>219</v>
      </c>
      <c r="H33" s="40"/>
      <c r="I33" s="53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</row>
    <row r="34" spans="1:57" x14ac:dyDescent="0.25">
      <c r="A34" s="33" t="s">
        <v>153</v>
      </c>
      <c r="B34" s="33" t="s">
        <v>266</v>
      </c>
      <c r="C34" s="56" t="s">
        <v>269</v>
      </c>
      <c r="D34" s="56"/>
      <c r="E34" s="40" t="s">
        <v>214</v>
      </c>
      <c r="F34" s="50" t="s">
        <v>237</v>
      </c>
      <c r="G34" s="44" t="s">
        <v>219</v>
      </c>
      <c r="H34" s="40"/>
      <c r="I34" s="53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</row>
    <row r="35" spans="1:57" x14ac:dyDescent="0.25">
      <c r="A35" s="33" t="s">
        <v>153</v>
      </c>
      <c r="B35" s="33" t="s">
        <v>266</v>
      </c>
      <c r="C35" s="56" t="s">
        <v>270</v>
      </c>
      <c r="D35" s="56"/>
      <c r="E35" s="40" t="s">
        <v>214</v>
      </c>
      <c r="F35" s="50" t="s">
        <v>237</v>
      </c>
      <c r="G35" s="44" t="s">
        <v>219</v>
      </c>
      <c r="H35" s="40"/>
      <c r="I35" s="53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</row>
    <row r="36" spans="1:57" ht="45" customHeight="1" x14ac:dyDescent="0.25">
      <c r="A36" s="33" t="s">
        <v>153</v>
      </c>
      <c r="B36" s="33" t="s">
        <v>266</v>
      </c>
      <c r="C36" s="56" t="s">
        <v>271</v>
      </c>
      <c r="D36" s="40"/>
      <c r="E36" s="40" t="s">
        <v>214</v>
      </c>
      <c r="F36" s="50" t="s">
        <v>215</v>
      </c>
      <c r="G36" s="44" t="s">
        <v>219</v>
      </c>
      <c r="H36" s="40"/>
      <c r="I36" s="53">
        <v>2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</row>
    <row r="37" spans="1:57" x14ac:dyDescent="0.25">
      <c r="A37" s="33" t="s">
        <v>153</v>
      </c>
      <c r="B37" s="33" t="s">
        <v>272</v>
      </c>
      <c r="C37" s="56" t="s">
        <v>273</v>
      </c>
      <c r="D37" s="56"/>
      <c r="E37" s="40" t="s">
        <v>214</v>
      </c>
      <c r="F37" s="52" t="s">
        <v>233</v>
      </c>
      <c r="G37" s="44" t="s">
        <v>219</v>
      </c>
    </row>
    <row r="38" spans="1:57" ht="30" customHeight="1" x14ac:dyDescent="0.25">
      <c r="A38" s="33" t="s">
        <v>274</v>
      </c>
      <c r="B38" s="33" t="s">
        <v>275</v>
      </c>
      <c r="C38" s="56" t="s">
        <v>276</v>
      </c>
      <c r="D38" s="40"/>
      <c r="E38" s="40" t="s">
        <v>214</v>
      </c>
      <c r="F38" s="52" t="s">
        <v>215</v>
      </c>
      <c r="G38" s="44" t="s">
        <v>219</v>
      </c>
      <c r="I38" s="55">
        <v>2</v>
      </c>
    </row>
    <row r="39" spans="1:57" ht="30" customHeight="1" x14ac:dyDescent="0.25">
      <c r="A39" s="33" t="s">
        <v>277</v>
      </c>
      <c r="B39" s="33" t="s">
        <v>278</v>
      </c>
      <c r="C39" s="56" t="s">
        <v>279</v>
      </c>
      <c r="D39" s="56"/>
      <c r="E39" s="40" t="s">
        <v>214</v>
      </c>
      <c r="F39" s="52" t="s">
        <v>233</v>
      </c>
      <c r="G39" s="44" t="s">
        <v>216</v>
      </c>
    </row>
    <row r="40" spans="1:57" ht="30" customHeight="1" x14ac:dyDescent="0.25">
      <c r="A40" s="33" t="s">
        <v>153</v>
      </c>
      <c r="B40" s="33" t="s">
        <v>266</v>
      </c>
      <c r="C40" s="56" t="s">
        <v>280</v>
      </c>
      <c r="D40" s="56"/>
      <c r="E40" s="40" t="s">
        <v>214</v>
      </c>
      <c r="F40" s="52" t="s">
        <v>233</v>
      </c>
      <c r="G40" s="44" t="s">
        <v>216</v>
      </c>
    </row>
    <row r="41" spans="1:57" ht="45" customHeight="1" x14ac:dyDescent="0.25">
      <c r="A41" s="33" t="s">
        <v>281</v>
      </c>
      <c r="B41" s="33" t="s">
        <v>282</v>
      </c>
      <c r="C41" s="56" t="s">
        <v>283</v>
      </c>
      <c r="D41" s="56"/>
      <c r="E41" s="40" t="s">
        <v>214</v>
      </c>
      <c r="F41" s="52" t="s">
        <v>237</v>
      </c>
      <c r="G41" s="44" t="s">
        <v>216</v>
      </c>
    </row>
    <row r="42" spans="1:57" ht="30" customHeight="1" x14ac:dyDescent="0.25">
      <c r="A42" s="33" t="s">
        <v>281</v>
      </c>
      <c r="B42" s="33" t="s">
        <v>149</v>
      </c>
      <c r="C42" s="56" t="s">
        <v>284</v>
      </c>
      <c r="D42" s="56"/>
      <c r="E42" s="40" t="s">
        <v>214</v>
      </c>
      <c r="G42" s="44" t="s">
        <v>219</v>
      </c>
    </row>
    <row r="43" spans="1:57" ht="30" customHeight="1" x14ac:dyDescent="0.25">
      <c r="A43" s="33" t="s">
        <v>274</v>
      </c>
      <c r="B43" s="33" t="s">
        <v>275</v>
      </c>
      <c r="C43" s="56" t="s">
        <v>285</v>
      </c>
      <c r="D43" s="40"/>
      <c r="E43" s="40" t="s">
        <v>214</v>
      </c>
      <c r="F43" s="52" t="s">
        <v>215</v>
      </c>
      <c r="G43" s="44" t="s">
        <v>234</v>
      </c>
      <c r="I43" s="55">
        <v>2</v>
      </c>
    </row>
    <row r="44" spans="1:57" x14ac:dyDescent="0.25">
      <c r="A44" s="33" t="s">
        <v>238</v>
      </c>
      <c r="B44" s="33" t="s">
        <v>286</v>
      </c>
      <c r="C44" s="56" t="s">
        <v>287</v>
      </c>
      <c r="D44" s="56"/>
      <c r="E44" s="40" t="s">
        <v>214</v>
      </c>
      <c r="F44" s="52" t="s">
        <v>233</v>
      </c>
      <c r="G44" s="44" t="s">
        <v>216</v>
      </c>
    </row>
    <row r="45" spans="1:57" x14ac:dyDescent="0.25">
      <c r="A45" s="33" t="s">
        <v>274</v>
      </c>
      <c r="B45" s="40" t="s">
        <v>274</v>
      </c>
      <c r="C45" s="56" t="s">
        <v>288</v>
      </c>
      <c r="D45" s="40"/>
      <c r="E45" s="40" t="s">
        <v>214</v>
      </c>
      <c r="F45" s="52" t="s">
        <v>215</v>
      </c>
      <c r="G45" s="44" t="s">
        <v>219</v>
      </c>
      <c r="I45" s="55">
        <v>2</v>
      </c>
    </row>
    <row r="46" spans="1:57" x14ac:dyDescent="0.25">
      <c r="A46" s="33" t="s">
        <v>289</v>
      </c>
      <c r="B46" s="33" t="s">
        <v>289</v>
      </c>
      <c r="C46" s="56" t="s">
        <v>290</v>
      </c>
      <c r="D46" s="56"/>
      <c r="E46" s="40" t="s">
        <v>214</v>
      </c>
      <c r="F46" s="52" t="s">
        <v>237</v>
      </c>
      <c r="G46" s="44" t="s">
        <v>216</v>
      </c>
    </row>
    <row r="47" spans="1:57" x14ac:dyDescent="0.25">
      <c r="A47" s="33" t="s">
        <v>291</v>
      </c>
      <c r="B47" s="33" t="s">
        <v>291</v>
      </c>
      <c r="C47" s="56" t="s">
        <v>292</v>
      </c>
      <c r="D47" s="56"/>
      <c r="E47" s="40" t="s">
        <v>214</v>
      </c>
      <c r="F47" s="52" t="s">
        <v>237</v>
      </c>
      <c r="G47" s="44" t="s">
        <v>219</v>
      </c>
    </row>
    <row r="48" spans="1:57" ht="30" customHeight="1" x14ac:dyDescent="0.25">
      <c r="A48" s="33" t="s">
        <v>153</v>
      </c>
      <c r="B48" s="33" t="s">
        <v>153</v>
      </c>
      <c r="C48" s="56" t="s">
        <v>293</v>
      </c>
      <c r="D48" s="56"/>
      <c r="E48" s="40" t="s">
        <v>214</v>
      </c>
      <c r="F48" s="52" t="s">
        <v>237</v>
      </c>
      <c r="G48" s="44" t="s">
        <v>219</v>
      </c>
    </row>
    <row r="49" spans="1:57" x14ac:dyDescent="0.25">
      <c r="A49" s="33" t="s">
        <v>153</v>
      </c>
      <c r="B49" s="33" t="s">
        <v>153</v>
      </c>
      <c r="C49" s="56" t="s">
        <v>294</v>
      </c>
      <c r="D49" s="56"/>
      <c r="E49" s="40" t="s">
        <v>214</v>
      </c>
      <c r="F49" s="52" t="s">
        <v>237</v>
      </c>
      <c r="G49" s="44" t="s">
        <v>216</v>
      </c>
    </row>
    <row r="50" spans="1:57" x14ac:dyDescent="0.25">
      <c r="A50" s="33" t="s">
        <v>295</v>
      </c>
      <c r="B50" s="33" t="s">
        <v>295</v>
      </c>
      <c r="C50" s="56" t="s">
        <v>296</v>
      </c>
      <c r="D50" s="56"/>
      <c r="E50" s="40" t="s">
        <v>214</v>
      </c>
      <c r="F50" s="52" t="s">
        <v>237</v>
      </c>
      <c r="G50" s="44" t="s">
        <v>216</v>
      </c>
    </row>
    <row r="51" spans="1:57" x14ac:dyDescent="0.25">
      <c r="A51" s="33" t="s">
        <v>291</v>
      </c>
      <c r="B51" s="33" t="s">
        <v>297</v>
      </c>
      <c r="C51" s="56" t="s">
        <v>298</v>
      </c>
      <c r="D51" s="56"/>
      <c r="E51" s="40" t="s">
        <v>214</v>
      </c>
      <c r="F51" s="52" t="s">
        <v>233</v>
      </c>
      <c r="G51" s="44" t="s">
        <v>219</v>
      </c>
    </row>
    <row r="52" spans="1:57" x14ac:dyDescent="0.25">
      <c r="A52" s="33" t="s">
        <v>274</v>
      </c>
      <c r="B52" s="40" t="s">
        <v>274</v>
      </c>
      <c r="C52" s="56" t="s">
        <v>299</v>
      </c>
      <c r="D52" s="40"/>
      <c r="E52" s="40" t="s">
        <v>214</v>
      </c>
      <c r="F52" s="51" t="s">
        <v>215</v>
      </c>
      <c r="G52" s="44" t="s">
        <v>216</v>
      </c>
      <c r="H52" s="44"/>
      <c r="I52" s="54">
        <v>2</v>
      </c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</row>
    <row r="53" spans="1:57" x14ac:dyDescent="0.25">
      <c r="A53" s="33" t="s">
        <v>153</v>
      </c>
      <c r="B53" s="40" t="s">
        <v>153</v>
      </c>
      <c r="C53" s="56" t="s">
        <v>300</v>
      </c>
      <c r="D53" s="40"/>
      <c r="E53" s="40" t="s">
        <v>214</v>
      </c>
      <c r="F53" s="51" t="s">
        <v>215</v>
      </c>
      <c r="G53" s="44" t="s">
        <v>216</v>
      </c>
      <c r="H53" s="44"/>
      <c r="I53" s="54">
        <v>2</v>
      </c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</row>
    <row r="54" spans="1:57" x14ac:dyDescent="0.25">
      <c r="A54" s="40" t="s">
        <v>281</v>
      </c>
      <c r="B54" s="40" t="s">
        <v>149</v>
      </c>
      <c r="C54" s="40" t="s">
        <v>301</v>
      </c>
      <c r="D54" s="40"/>
      <c r="E54" s="40" t="s">
        <v>302</v>
      </c>
      <c r="F54" s="51"/>
      <c r="G54" s="44" t="s">
        <v>234</v>
      </c>
      <c r="H54" s="44"/>
      <c r="I54" s="54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</row>
    <row r="55" spans="1:57" x14ac:dyDescent="0.25">
      <c r="A55" s="40" t="s">
        <v>281</v>
      </c>
      <c r="B55" s="40" t="s">
        <v>149</v>
      </c>
      <c r="C55" s="40" t="s">
        <v>303</v>
      </c>
      <c r="D55" s="40"/>
      <c r="E55" s="40" t="s">
        <v>302</v>
      </c>
      <c r="F55" s="51"/>
      <c r="G55" s="44" t="s">
        <v>219</v>
      </c>
      <c r="H55" s="44"/>
      <c r="I55" s="54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</row>
    <row r="56" spans="1:57" x14ac:dyDescent="0.25">
      <c r="A56" s="40" t="s">
        <v>281</v>
      </c>
      <c r="B56" s="40" t="s">
        <v>149</v>
      </c>
      <c r="C56" s="40" t="s">
        <v>304</v>
      </c>
      <c r="D56" s="40"/>
      <c r="E56" s="40" t="s">
        <v>302</v>
      </c>
      <c r="F56" s="51"/>
      <c r="G56" s="44" t="s">
        <v>219</v>
      </c>
      <c r="H56" s="44"/>
      <c r="I56" s="54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</row>
    <row r="57" spans="1:57" x14ac:dyDescent="0.25">
      <c r="A57" s="40" t="s">
        <v>281</v>
      </c>
      <c r="B57" s="40" t="s">
        <v>149</v>
      </c>
      <c r="C57" s="40" t="s">
        <v>305</v>
      </c>
      <c r="D57" s="40"/>
      <c r="E57" s="40" t="s">
        <v>302</v>
      </c>
      <c r="F57" s="51"/>
      <c r="G57" s="44" t="s">
        <v>234</v>
      </c>
      <c r="H57" s="44"/>
      <c r="I57" s="54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</row>
    <row r="58" spans="1:57" x14ac:dyDescent="0.25">
      <c r="A58" s="40" t="s">
        <v>281</v>
      </c>
      <c r="B58" s="40" t="s">
        <v>149</v>
      </c>
      <c r="C58" s="40" t="s">
        <v>306</v>
      </c>
      <c r="D58" s="40"/>
      <c r="E58" s="40" t="s">
        <v>302</v>
      </c>
      <c r="F58" s="51"/>
      <c r="G58" s="44" t="s">
        <v>234</v>
      </c>
      <c r="H58" s="44"/>
      <c r="I58" s="54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</row>
    <row r="59" spans="1:57" x14ac:dyDescent="0.25">
      <c r="A59" s="40" t="s">
        <v>281</v>
      </c>
      <c r="B59" s="40" t="s">
        <v>149</v>
      </c>
      <c r="C59" s="40" t="s">
        <v>307</v>
      </c>
      <c r="D59" s="40"/>
      <c r="E59" s="40" t="s">
        <v>302</v>
      </c>
      <c r="F59" s="51"/>
      <c r="G59" s="44" t="s">
        <v>219</v>
      </c>
      <c r="H59" s="44"/>
      <c r="I59" s="54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</row>
    <row r="60" spans="1:57" x14ac:dyDescent="0.25">
      <c r="A60" s="40" t="s">
        <v>281</v>
      </c>
      <c r="B60" s="40" t="s">
        <v>149</v>
      </c>
      <c r="C60" s="40" t="s">
        <v>308</v>
      </c>
      <c r="D60" s="40"/>
      <c r="E60" s="40" t="s">
        <v>302</v>
      </c>
      <c r="F60" s="51"/>
      <c r="G60" s="44" t="s">
        <v>216</v>
      </c>
      <c r="H60" s="44"/>
      <c r="I60" s="54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</row>
    <row r="61" spans="1:57" x14ac:dyDescent="0.25">
      <c r="A61" s="40" t="s">
        <v>281</v>
      </c>
      <c r="B61" s="40" t="s">
        <v>149</v>
      </c>
      <c r="C61" s="40" t="s">
        <v>309</v>
      </c>
      <c r="D61" s="40"/>
      <c r="E61" s="40" t="s">
        <v>302</v>
      </c>
      <c r="F61" s="51"/>
      <c r="G61" s="44" t="s">
        <v>216</v>
      </c>
      <c r="H61" s="44"/>
      <c r="I61" s="54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</row>
    <row r="62" spans="1:57" x14ac:dyDescent="0.25">
      <c r="A62" s="40" t="s">
        <v>281</v>
      </c>
      <c r="B62" s="40" t="s">
        <v>149</v>
      </c>
      <c r="C62" s="40" t="s">
        <v>310</v>
      </c>
      <c r="D62" s="40"/>
      <c r="E62" s="40" t="s">
        <v>302</v>
      </c>
      <c r="F62" s="51"/>
      <c r="G62" s="44" t="s">
        <v>234</v>
      </c>
      <c r="H62" s="44"/>
      <c r="I62" s="54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</row>
    <row r="63" spans="1:57" x14ac:dyDescent="0.25">
      <c r="A63" s="40" t="s">
        <v>281</v>
      </c>
      <c r="B63" s="40" t="s">
        <v>149</v>
      </c>
      <c r="C63" s="40" t="s">
        <v>311</v>
      </c>
      <c r="D63" s="40"/>
      <c r="E63" s="40" t="s">
        <v>302</v>
      </c>
      <c r="F63" s="51"/>
      <c r="G63" s="44" t="s">
        <v>219</v>
      </c>
      <c r="H63" s="44"/>
      <c r="I63" s="54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</row>
    <row r="64" spans="1:57" x14ac:dyDescent="0.25">
      <c r="A64" s="40" t="s">
        <v>281</v>
      </c>
      <c r="B64" s="40" t="s">
        <v>149</v>
      </c>
      <c r="C64" s="40" t="s">
        <v>312</v>
      </c>
      <c r="D64" s="40"/>
      <c r="E64" s="40" t="s">
        <v>302</v>
      </c>
      <c r="F64" s="51"/>
      <c r="G64" s="44" t="s">
        <v>219</v>
      </c>
      <c r="H64" s="44"/>
      <c r="I64" s="54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</row>
    <row r="65" spans="1:57" x14ac:dyDescent="0.25">
      <c r="A65" s="40" t="s">
        <v>281</v>
      </c>
      <c r="B65" s="40" t="s">
        <v>149</v>
      </c>
      <c r="C65" s="40" t="s">
        <v>313</v>
      </c>
      <c r="D65" s="40"/>
      <c r="E65" s="40" t="s">
        <v>302</v>
      </c>
      <c r="F65" s="51"/>
      <c r="G65" s="44" t="s">
        <v>219</v>
      </c>
      <c r="H65" s="44"/>
      <c r="I65" s="54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</row>
    <row r="66" spans="1:57" x14ac:dyDescent="0.25">
      <c r="A66" s="40" t="s">
        <v>281</v>
      </c>
      <c r="B66" s="40" t="s">
        <v>149</v>
      </c>
      <c r="C66" s="40" t="s">
        <v>314</v>
      </c>
      <c r="D66" s="40"/>
      <c r="E66" s="40" t="s">
        <v>302</v>
      </c>
      <c r="F66" s="51"/>
      <c r="G66" s="44" t="s">
        <v>219</v>
      </c>
      <c r="H66" s="44"/>
      <c r="I66" s="54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</row>
    <row r="67" spans="1:57" x14ac:dyDescent="0.25">
      <c r="A67" s="40" t="s">
        <v>281</v>
      </c>
      <c r="B67" s="40" t="s">
        <v>149</v>
      </c>
      <c r="C67" s="40" t="s">
        <v>315</v>
      </c>
      <c r="D67" s="40"/>
      <c r="E67" s="40" t="s">
        <v>302</v>
      </c>
      <c r="F67" s="51"/>
      <c r="G67" s="44" t="s">
        <v>234</v>
      </c>
      <c r="H67" s="44"/>
      <c r="I67" s="54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</row>
    <row r="68" spans="1:57" x14ac:dyDescent="0.25">
      <c r="A68" s="40" t="s">
        <v>281</v>
      </c>
      <c r="B68" s="40" t="s">
        <v>149</v>
      </c>
      <c r="C68" s="40" t="s">
        <v>316</v>
      </c>
      <c r="D68" s="40"/>
      <c r="E68" s="40" t="s">
        <v>302</v>
      </c>
      <c r="F68" s="51"/>
      <c r="G68" s="44" t="s">
        <v>234</v>
      </c>
      <c r="H68" s="44"/>
      <c r="I68" s="54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</row>
    <row r="69" spans="1:57" x14ac:dyDescent="0.25">
      <c r="A69" s="40" t="s">
        <v>281</v>
      </c>
      <c r="B69" s="40" t="s">
        <v>149</v>
      </c>
      <c r="C69" s="40" t="s">
        <v>317</v>
      </c>
      <c r="D69" s="40"/>
      <c r="E69" s="40" t="s">
        <v>302</v>
      </c>
      <c r="F69" s="51"/>
      <c r="G69" s="44" t="s">
        <v>219</v>
      </c>
      <c r="H69" s="44"/>
      <c r="I69" s="54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</row>
    <row r="70" spans="1:57" x14ac:dyDescent="0.25">
      <c r="A70" s="40" t="s">
        <v>281</v>
      </c>
      <c r="B70" s="40" t="s">
        <v>149</v>
      </c>
      <c r="C70" s="40" t="s">
        <v>318</v>
      </c>
      <c r="D70" s="40"/>
      <c r="E70" s="40" t="s">
        <v>302</v>
      </c>
      <c r="F70" s="51"/>
      <c r="G70" s="44" t="s">
        <v>219</v>
      </c>
      <c r="H70" s="44"/>
      <c r="I70" s="54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</row>
    <row r="71" spans="1:57" x14ac:dyDescent="0.25">
      <c r="A71" s="40" t="s">
        <v>281</v>
      </c>
      <c r="B71" s="40" t="s">
        <v>149</v>
      </c>
      <c r="C71" s="40" t="s">
        <v>319</v>
      </c>
      <c r="D71" s="40"/>
      <c r="E71" s="40" t="s">
        <v>302</v>
      </c>
      <c r="F71" s="51"/>
      <c r="G71" s="44" t="s">
        <v>219</v>
      </c>
      <c r="H71" s="44"/>
      <c r="I71" s="54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</row>
    <row r="72" spans="1:57" x14ac:dyDescent="0.25">
      <c r="A72" s="40" t="s">
        <v>281</v>
      </c>
      <c r="B72" s="40" t="s">
        <v>149</v>
      </c>
      <c r="C72" s="40" t="s">
        <v>320</v>
      </c>
      <c r="D72" s="40"/>
      <c r="E72" s="40" t="s">
        <v>302</v>
      </c>
      <c r="F72" s="51"/>
      <c r="G72" s="44" t="s">
        <v>216</v>
      </c>
      <c r="H72" s="44"/>
      <c r="I72" s="54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</row>
    <row r="73" spans="1:57" x14ac:dyDescent="0.25">
      <c r="A73" s="40" t="s">
        <v>227</v>
      </c>
      <c r="B73" s="40" t="s">
        <v>321</v>
      </c>
      <c r="C73" s="40" t="s">
        <v>322</v>
      </c>
      <c r="D73" s="40"/>
      <c r="E73" s="40" t="s">
        <v>302</v>
      </c>
      <c r="F73" s="51"/>
      <c r="G73" s="44" t="s">
        <v>219</v>
      </c>
      <c r="H73" s="44"/>
      <c r="I73" s="54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</row>
    <row r="74" spans="1:57" x14ac:dyDescent="0.25">
      <c r="A74" s="40" t="s">
        <v>227</v>
      </c>
      <c r="B74" s="40" t="s">
        <v>323</v>
      </c>
      <c r="C74" s="40" t="s">
        <v>324</v>
      </c>
      <c r="D74" s="40"/>
      <c r="E74" s="40" t="s">
        <v>302</v>
      </c>
      <c r="F74" s="51"/>
      <c r="G74" s="44" t="s">
        <v>219</v>
      </c>
      <c r="H74" s="44"/>
      <c r="I74" s="54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</row>
    <row r="75" spans="1:57" x14ac:dyDescent="0.25">
      <c r="A75" s="40" t="s">
        <v>227</v>
      </c>
      <c r="B75" s="40" t="s">
        <v>323</v>
      </c>
      <c r="C75" s="40" t="s">
        <v>325</v>
      </c>
      <c r="D75" s="40"/>
      <c r="E75" s="40" t="s">
        <v>302</v>
      </c>
      <c r="F75" s="51"/>
      <c r="G75" s="44" t="s">
        <v>216</v>
      </c>
      <c r="H75" s="44"/>
      <c r="I75" s="54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</row>
    <row r="76" spans="1:57" x14ac:dyDescent="0.25">
      <c r="A76" s="40" t="s">
        <v>227</v>
      </c>
      <c r="B76" s="40" t="s">
        <v>323</v>
      </c>
      <c r="C76" s="40" t="s">
        <v>326</v>
      </c>
      <c r="D76" s="40"/>
      <c r="E76" s="40" t="s">
        <v>302</v>
      </c>
      <c r="F76" s="51"/>
      <c r="G76" s="44" t="s">
        <v>216</v>
      </c>
      <c r="H76" s="44"/>
      <c r="I76" s="54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</row>
    <row r="77" spans="1:57" x14ac:dyDescent="0.25">
      <c r="A77" s="40" t="s">
        <v>227</v>
      </c>
      <c r="B77" s="40" t="s">
        <v>323</v>
      </c>
      <c r="C77" s="40" t="s">
        <v>327</v>
      </c>
      <c r="D77" s="40"/>
      <c r="E77" s="40" t="s">
        <v>302</v>
      </c>
      <c r="F77" s="51"/>
      <c r="G77" s="44" t="s">
        <v>219</v>
      </c>
      <c r="H77" s="44"/>
      <c r="I77" s="54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</row>
    <row r="78" spans="1:57" x14ac:dyDescent="0.25">
      <c r="A78" s="40" t="s">
        <v>227</v>
      </c>
      <c r="B78" s="40" t="s">
        <v>120</v>
      </c>
      <c r="C78" s="40" t="s">
        <v>328</v>
      </c>
      <c r="D78" s="40"/>
      <c r="E78" s="40" t="s">
        <v>302</v>
      </c>
      <c r="F78" s="51"/>
      <c r="G78" s="44" t="s">
        <v>219</v>
      </c>
      <c r="H78" s="44"/>
      <c r="I78" s="54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</row>
    <row r="79" spans="1:57" x14ac:dyDescent="0.25">
      <c r="A79" s="40" t="s">
        <v>227</v>
      </c>
      <c r="B79" s="40" t="s">
        <v>120</v>
      </c>
      <c r="C79" s="40" t="s">
        <v>329</v>
      </c>
      <c r="D79" s="40"/>
      <c r="E79" s="40" t="s">
        <v>302</v>
      </c>
      <c r="F79" s="51"/>
      <c r="G79" s="44" t="s">
        <v>216</v>
      </c>
      <c r="H79" s="44"/>
      <c r="I79" s="54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</row>
    <row r="80" spans="1:57" x14ac:dyDescent="0.25">
      <c r="A80" s="40" t="s">
        <v>227</v>
      </c>
      <c r="B80" s="40" t="s">
        <v>120</v>
      </c>
      <c r="C80" s="40" t="s">
        <v>330</v>
      </c>
      <c r="D80" s="40"/>
      <c r="E80" s="40" t="s">
        <v>302</v>
      </c>
      <c r="F80" s="51"/>
      <c r="G80" s="44" t="s">
        <v>216</v>
      </c>
      <c r="H80" s="44"/>
      <c r="I80" s="54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</row>
    <row r="81" spans="1:57" x14ac:dyDescent="0.25">
      <c r="A81" s="40" t="s">
        <v>227</v>
      </c>
      <c r="B81" s="40" t="s">
        <v>331</v>
      </c>
      <c r="C81" s="40" t="s">
        <v>332</v>
      </c>
      <c r="D81" s="40"/>
      <c r="E81" s="40" t="s">
        <v>214</v>
      </c>
      <c r="F81" s="51" t="s">
        <v>237</v>
      </c>
      <c r="G81" s="44" t="s">
        <v>216</v>
      </c>
      <c r="H81" s="44"/>
      <c r="I81" s="54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</row>
    <row r="82" spans="1:57" x14ac:dyDescent="0.25">
      <c r="A82" s="40" t="s">
        <v>227</v>
      </c>
      <c r="B82" s="40" t="s">
        <v>333</v>
      </c>
      <c r="C82" s="40" t="s">
        <v>334</v>
      </c>
      <c r="D82" s="40"/>
      <c r="E82" s="40" t="s">
        <v>76</v>
      </c>
      <c r="F82" s="51"/>
      <c r="G82" s="44" t="s">
        <v>216</v>
      </c>
      <c r="H82" s="44"/>
      <c r="I82" s="54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</row>
    <row r="83" spans="1:57" x14ac:dyDescent="0.25">
      <c r="A83" s="40" t="s">
        <v>227</v>
      </c>
      <c r="B83" s="40" t="s">
        <v>333</v>
      </c>
      <c r="C83" s="40" t="s">
        <v>335</v>
      </c>
      <c r="D83" s="40"/>
      <c r="E83" s="40" t="s">
        <v>76</v>
      </c>
      <c r="F83" s="51"/>
      <c r="G83" s="44" t="s">
        <v>216</v>
      </c>
      <c r="H83" s="44"/>
      <c r="I83" s="54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</row>
    <row r="84" spans="1:57" x14ac:dyDescent="0.25">
      <c r="A84" s="40" t="s">
        <v>227</v>
      </c>
      <c r="B84" s="40" t="s">
        <v>336</v>
      </c>
      <c r="C84" s="40" t="s">
        <v>336</v>
      </c>
      <c r="D84" s="40"/>
      <c r="E84" s="40" t="s">
        <v>302</v>
      </c>
      <c r="F84" s="51"/>
      <c r="G84" s="44" t="s">
        <v>219</v>
      </c>
      <c r="H84" s="44"/>
      <c r="I84" s="54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</row>
    <row r="85" spans="1:57" x14ac:dyDescent="0.25">
      <c r="A85" s="40" t="s">
        <v>227</v>
      </c>
      <c r="B85" s="40" t="s">
        <v>337</v>
      </c>
      <c r="C85" s="40" t="s">
        <v>338</v>
      </c>
      <c r="D85" s="40"/>
      <c r="E85" s="40" t="s">
        <v>302</v>
      </c>
      <c r="F85" s="51"/>
      <c r="G85" s="44"/>
      <c r="H85" s="44"/>
      <c r="I85" s="54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</row>
    <row r="86" spans="1:57" x14ac:dyDescent="0.25">
      <c r="A86" s="40" t="s">
        <v>281</v>
      </c>
      <c r="B86" s="40" t="s">
        <v>149</v>
      </c>
      <c r="C86" s="40" t="s">
        <v>339</v>
      </c>
      <c r="D86" s="40"/>
      <c r="E86" s="40" t="s">
        <v>302</v>
      </c>
      <c r="F86" s="51"/>
      <c r="G86" s="44" t="s">
        <v>216</v>
      </c>
      <c r="H86" s="44"/>
      <c r="I86" s="54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</row>
    <row r="87" spans="1:57" x14ac:dyDescent="0.25">
      <c r="A87" s="40" t="s">
        <v>281</v>
      </c>
      <c r="B87" s="40" t="s">
        <v>149</v>
      </c>
      <c r="C87" s="40" t="s">
        <v>340</v>
      </c>
      <c r="D87" s="40"/>
      <c r="E87" s="40" t="s">
        <v>302</v>
      </c>
      <c r="F87" s="51"/>
      <c r="G87" s="44" t="s">
        <v>216</v>
      </c>
      <c r="H87" s="44"/>
      <c r="I87" s="54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</row>
    <row r="88" spans="1:57" x14ac:dyDescent="0.25">
      <c r="A88" s="40" t="s">
        <v>341</v>
      </c>
      <c r="B88" s="40" t="s">
        <v>341</v>
      </c>
      <c r="C88" s="40" t="s">
        <v>342</v>
      </c>
      <c r="D88" s="40"/>
      <c r="E88" s="40" t="s">
        <v>76</v>
      </c>
      <c r="F88" s="50"/>
      <c r="G88" s="44" t="s">
        <v>216</v>
      </c>
      <c r="H88" s="40"/>
      <c r="I88" s="53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</row>
    <row r="89" spans="1:57" x14ac:dyDescent="0.25">
      <c r="A89" s="40" t="s">
        <v>341</v>
      </c>
      <c r="B89" s="40" t="s">
        <v>341</v>
      </c>
      <c r="C89" s="40" t="s">
        <v>343</v>
      </c>
      <c r="D89" s="40"/>
      <c r="E89" s="40" t="s">
        <v>76</v>
      </c>
      <c r="F89" s="50"/>
      <c r="G89" s="44" t="s">
        <v>216</v>
      </c>
      <c r="H89" s="40"/>
      <c r="I89" s="53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</row>
    <row r="90" spans="1:57" x14ac:dyDescent="0.25">
      <c r="A90" s="40" t="s">
        <v>341</v>
      </c>
      <c r="B90" s="40" t="s">
        <v>341</v>
      </c>
      <c r="C90" s="40" t="s">
        <v>344</v>
      </c>
      <c r="D90" s="40"/>
      <c r="E90" s="40" t="s">
        <v>76</v>
      </c>
      <c r="F90" s="50"/>
      <c r="G90" s="44" t="s">
        <v>216</v>
      </c>
      <c r="H90" s="40"/>
      <c r="I90" s="53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</row>
    <row r="91" spans="1:57" x14ac:dyDescent="0.25">
      <c r="A91" s="40" t="s">
        <v>341</v>
      </c>
      <c r="B91" s="40" t="s">
        <v>341</v>
      </c>
      <c r="C91" s="40" t="s">
        <v>345</v>
      </c>
      <c r="D91" s="40"/>
      <c r="E91" s="40" t="s">
        <v>76</v>
      </c>
      <c r="F91" s="50"/>
      <c r="G91" s="44" t="s">
        <v>216</v>
      </c>
      <c r="H91" s="40"/>
      <c r="I91" s="53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</row>
    <row r="92" spans="1:57" x14ac:dyDescent="0.25">
      <c r="A92" s="40" t="s">
        <v>341</v>
      </c>
      <c r="B92" s="40" t="s">
        <v>341</v>
      </c>
      <c r="C92" s="40" t="s">
        <v>346</v>
      </c>
      <c r="D92" s="40"/>
      <c r="E92" s="40" t="s">
        <v>76</v>
      </c>
      <c r="F92" s="50"/>
      <c r="G92" s="44" t="s">
        <v>216</v>
      </c>
      <c r="H92" s="40"/>
      <c r="I92" s="53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</row>
    <row r="93" spans="1:57" x14ac:dyDescent="0.25">
      <c r="A93" s="40" t="s">
        <v>341</v>
      </c>
      <c r="B93" s="40" t="s">
        <v>341</v>
      </c>
      <c r="C93" s="40" t="s">
        <v>347</v>
      </c>
      <c r="D93" s="40"/>
      <c r="E93" s="40" t="s">
        <v>76</v>
      </c>
      <c r="F93" s="50"/>
      <c r="G93" s="44" t="s">
        <v>216</v>
      </c>
      <c r="H93" s="40"/>
      <c r="I93" s="53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</row>
    <row r="94" spans="1:57" x14ac:dyDescent="0.25">
      <c r="A94" s="40" t="s">
        <v>348</v>
      </c>
      <c r="B94" s="40" t="s">
        <v>349</v>
      </c>
      <c r="C94" s="40" t="s">
        <v>350</v>
      </c>
      <c r="D94" s="40"/>
      <c r="E94" s="40" t="s">
        <v>302</v>
      </c>
      <c r="G94" s="44" t="s">
        <v>216</v>
      </c>
    </row>
    <row r="95" spans="1:57" x14ac:dyDescent="0.25">
      <c r="A95" s="40" t="s">
        <v>348</v>
      </c>
      <c r="B95" s="40" t="s">
        <v>349</v>
      </c>
      <c r="C95" s="40" t="s">
        <v>351</v>
      </c>
      <c r="D95" s="40"/>
      <c r="E95" s="40" t="s">
        <v>302</v>
      </c>
      <c r="G95" s="44" t="s">
        <v>216</v>
      </c>
    </row>
    <row r="96" spans="1:57" x14ac:dyDescent="0.25">
      <c r="A96" s="40" t="s">
        <v>348</v>
      </c>
      <c r="B96" s="40" t="s">
        <v>349</v>
      </c>
      <c r="C96" s="40" t="s">
        <v>352</v>
      </c>
      <c r="D96" s="40"/>
      <c r="E96" s="40" t="s">
        <v>302</v>
      </c>
      <c r="G96" s="44" t="s">
        <v>216</v>
      </c>
    </row>
    <row r="97" spans="1:7" x14ac:dyDescent="0.25">
      <c r="A97" s="40" t="s">
        <v>348</v>
      </c>
      <c r="B97" s="40" t="s">
        <v>349</v>
      </c>
      <c r="C97" s="40" t="s">
        <v>353</v>
      </c>
      <c r="D97" s="40"/>
      <c r="E97" s="40" t="s">
        <v>302</v>
      </c>
      <c r="G97" s="44" t="s">
        <v>216</v>
      </c>
    </row>
    <row r="98" spans="1:7" x14ac:dyDescent="0.25">
      <c r="A98" s="40" t="s">
        <v>348</v>
      </c>
      <c r="B98" s="40" t="s">
        <v>349</v>
      </c>
      <c r="C98" s="40" t="s">
        <v>354</v>
      </c>
      <c r="D98" s="40"/>
      <c r="E98" s="40" t="s">
        <v>302</v>
      </c>
      <c r="G98" s="44" t="s">
        <v>216</v>
      </c>
    </row>
    <row r="99" spans="1:7" x14ac:dyDescent="0.25">
      <c r="A99" s="40" t="s">
        <v>348</v>
      </c>
      <c r="B99" s="40" t="s">
        <v>355</v>
      </c>
      <c r="C99" s="40" t="s">
        <v>356</v>
      </c>
      <c r="D99" s="40"/>
      <c r="E99" s="40" t="s">
        <v>302</v>
      </c>
      <c r="G99" s="44" t="s">
        <v>216</v>
      </c>
    </row>
    <row r="100" spans="1:7" x14ac:dyDescent="0.25">
      <c r="A100" s="40" t="s">
        <v>348</v>
      </c>
      <c r="B100" s="40" t="s">
        <v>355</v>
      </c>
      <c r="C100" s="40" t="s">
        <v>357</v>
      </c>
      <c r="D100" s="40"/>
      <c r="E100" s="40" t="s">
        <v>302</v>
      </c>
      <c r="G100" s="44" t="s">
        <v>216</v>
      </c>
    </row>
    <row r="101" spans="1:7" x14ac:dyDescent="0.25">
      <c r="A101" s="40" t="s">
        <v>348</v>
      </c>
      <c r="B101" s="40" t="s">
        <v>355</v>
      </c>
      <c r="C101" s="40" t="s">
        <v>358</v>
      </c>
      <c r="D101" s="40"/>
      <c r="E101" s="40" t="s">
        <v>302</v>
      </c>
      <c r="G101" s="44" t="s">
        <v>216</v>
      </c>
    </row>
    <row r="102" spans="1:7" x14ac:dyDescent="0.25">
      <c r="A102" s="40" t="s">
        <v>348</v>
      </c>
      <c r="B102" s="40" t="s">
        <v>355</v>
      </c>
      <c r="C102" s="40" t="s">
        <v>359</v>
      </c>
      <c r="D102" s="40"/>
      <c r="E102" s="40" t="s">
        <v>302</v>
      </c>
      <c r="G102" s="44" t="s">
        <v>216</v>
      </c>
    </row>
    <row r="103" spans="1:7" x14ac:dyDescent="0.25">
      <c r="A103" s="40" t="s">
        <v>348</v>
      </c>
      <c r="B103" s="40" t="s">
        <v>355</v>
      </c>
      <c r="C103" s="40" t="s">
        <v>360</v>
      </c>
      <c r="D103" s="40"/>
      <c r="E103" s="40" t="s">
        <v>302</v>
      </c>
      <c r="G103" s="44" t="s">
        <v>216</v>
      </c>
    </row>
    <row r="104" spans="1:7" x14ac:dyDescent="0.25">
      <c r="A104" s="40" t="s">
        <v>348</v>
      </c>
      <c r="B104" s="40" t="s">
        <v>361</v>
      </c>
      <c r="C104" s="40" t="s">
        <v>362</v>
      </c>
      <c r="D104" s="40"/>
      <c r="E104" s="40" t="s">
        <v>302</v>
      </c>
      <c r="G104" s="44"/>
    </row>
    <row r="105" spans="1:7" x14ac:dyDescent="0.25">
      <c r="A105" s="40" t="s">
        <v>363</v>
      </c>
      <c r="B105" s="40" t="s">
        <v>364</v>
      </c>
      <c r="C105" s="40" t="s">
        <v>365</v>
      </c>
      <c r="D105" s="40"/>
      <c r="E105" s="40" t="s">
        <v>302</v>
      </c>
      <c r="G105" s="44" t="s">
        <v>216</v>
      </c>
    </row>
    <row r="106" spans="1:7" x14ac:dyDescent="0.25">
      <c r="A106" s="40" t="s">
        <v>363</v>
      </c>
      <c r="B106" s="40" t="s">
        <v>364</v>
      </c>
      <c r="C106" s="40" t="s">
        <v>366</v>
      </c>
      <c r="D106" s="40"/>
      <c r="E106" s="40" t="s">
        <v>302</v>
      </c>
      <c r="G106" s="44" t="s">
        <v>216</v>
      </c>
    </row>
    <row r="107" spans="1:7" x14ac:dyDescent="0.25">
      <c r="A107" s="40" t="s">
        <v>363</v>
      </c>
      <c r="B107" s="40" t="s">
        <v>364</v>
      </c>
      <c r="C107" s="40" t="s">
        <v>367</v>
      </c>
      <c r="D107" s="40"/>
      <c r="E107" s="40" t="s">
        <v>302</v>
      </c>
      <c r="G107" s="44" t="s">
        <v>216</v>
      </c>
    </row>
    <row r="108" spans="1:7" x14ac:dyDescent="0.25">
      <c r="A108" s="40" t="s">
        <v>363</v>
      </c>
      <c r="B108" s="40" t="s">
        <v>364</v>
      </c>
      <c r="C108" s="40" t="s">
        <v>368</v>
      </c>
      <c r="D108" s="40"/>
      <c r="E108" s="40" t="s">
        <v>302</v>
      </c>
      <c r="G108" s="44" t="s">
        <v>216</v>
      </c>
    </row>
    <row r="109" spans="1:7" x14ac:dyDescent="0.25">
      <c r="A109" s="40" t="s">
        <v>363</v>
      </c>
      <c r="B109" s="40" t="s">
        <v>364</v>
      </c>
      <c r="C109" s="40" t="s">
        <v>369</v>
      </c>
      <c r="D109" s="40"/>
      <c r="E109" s="40" t="s">
        <v>302</v>
      </c>
      <c r="G109" s="44" t="s">
        <v>216</v>
      </c>
    </row>
    <row r="110" spans="1:7" x14ac:dyDescent="0.25">
      <c r="A110" s="40" t="s">
        <v>363</v>
      </c>
      <c r="B110" s="40" t="s">
        <v>370</v>
      </c>
      <c r="C110" s="40" t="s">
        <v>371</v>
      </c>
      <c r="D110" s="40"/>
      <c r="E110" s="40" t="s">
        <v>302</v>
      </c>
      <c r="G110" s="44" t="s">
        <v>216</v>
      </c>
    </row>
    <row r="111" spans="1:7" x14ac:dyDescent="0.25">
      <c r="A111" s="40" t="s">
        <v>363</v>
      </c>
      <c r="B111" s="40" t="s">
        <v>370</v>
      </c>
      <c r="C111" s="40" t="s">
        <v>372</v>
      </c>
      <c r="D111" s="40"/>
      <c r="E111" s="40" t="s">
        <v>302</v>
      </c>
      <c r="G111" s="44" t="s">
        <v>216</v>
      </c>
    </row>
    <row r="112" spans="1:7" x14ac:dyDescent="0.25">
      <c r="A112" s="40" t="s">
        <v>363</v>
      </c>
      <c r="B112" s="40" t="s">
        <v>370</v>
      </c>
      <c r="C112" s="40" t="s">
        <v>373</v>
      </c>
      <c r="D112" s="40"/>
      <c r="E112" s="40" t="s">
        <v>302</v>
      </c>
      <c r="G112" s="44" t="s">
        <v>216</v>
      </c>
    </row>
    <row r="113" spans="1:9" x14ac:dyDescent="0.25">
      <c r="A113" s="40" t="s">
        <v>363</v>
      </c>
      <c r="B113" s="40" t="s">
        <v>370</v>
      </c>
      <c r="C113" s="40" t="s">
        <v>374</v>
      </c>
      <c r="D113" s="40"/>
      <c r="E113" s="40" t="s">
        <v>302</v>
      </c>
      <c r="G113" s="44" t="s">
        <v>216</v>
      </c>
    </row>
    <row r="114" spans="1:9" x14ac:dyDescent="0.25">
      <c r="A114" s="40" t="s">
        <v>363</v>
      </c>
      <c r="B114" s="40" t="s">
        <v>370</v>
      </c>
      <c r="C114" s="40" t="s">
        <v>375</v>
      </c>
      <c r="D114" s="40"/>
      <c r="E114" s="40" t="s">
        <v>302</v>
      </c>
      <c r="G114" s="44" t="s">
        <v>216</v>
      </c>
    </row>
    <row r="115" spans="1:9" x14ac:dyDescent="0.25">
      <c r="A115" s="40" t="s">
        <v>363</v>
      </c>
      <c r="B115" s="40" t="s">
        <v>376</v>
      </c>
      <c r="C115" s="40" t="s">
        <v>377</v>
      </c>
      <c r="D115" s="40"/>
      <c r="E115" s="40" t="s">
        <v>302</v>
      </c>
      <c r="G115" s="44" t="s">
        <v>216</v>
      </c>
    </row>
    <row r="116" spans="1:9" x14ac:dyDescent="0.25">
      <c r="A116" s="40" t="s">
        <v>363</v>
      </c>
      <c r="B116" s="40" t="s">
        <v>376</v>
      </c>
      <c r="C116" s="40" t="s">
        <v>378</v>
      </c>
      <c r="D116" s="40"/>
      <c r="E116" s="40" t="s">
        <v>302</v>
      </c>
      <c r="G116" s="44" t="s">
        <v>216</v>
      </c>
    </row>
    <row r="117" spans="1:9" x14ac:dyDescent="0.25">
      <c r="A117" s="40" t="s">
        <v>363</v>
      </c>
      <c r="B117" s="40" t="s">
        <v>376</v>
      </c>
      <c r="C117" s="40" t="s">
        <v>379</v>
      </c>
      <c r="D117" s="40"/>
      <c r="E117" s="40" t="s">
        <v>302</v>
      </c>
      <c r="G117" s="44" t="s">
        <v>216</v>
      </c>
    </row>
    <row r="118" spans="1:9" x14ac:dyDescent="0.25">
      <c r="A118" s="40" t="s">
        <v>363</v>
      </c>
      <c r="B118" s="40" t="s">
        <v>380</v>
      </c>
      <c r="C118" s="40" t="s">
        <v>381</v>
      </c>
      <c r="D118" s="40"/>
      <c r="E118" s="40" t="s">
        <v>302</v>
      </c>
      <c r="G118" s="44" t="s">
        <v>216</v>
      </c>
    </row>
    <row r="119" spans="1:9" x14ac:dyDescent="0.25">
      <c r="A119" s="40" t="s">
        <v>230</v>
      </c>
      <c r="B119" s="40" t="s">
        <v>382</v>
      </c>
      <c r="C119" t="s">
        <v>383</v>
      </c>
      <c r="D119" t="s">
        <v>213</v>
      </c>
      <c r="E119" s="40" t="s">
        <v>76</v>
      </c>
      <c r="G119" s="44" t="s">
        <v>219</v>
      </c>
    </row>
    <row r="120" spans="1:9" x14ac:dyDescent="0.25">
      <c r="A120" s="40" t="s">
        <v>230</v>
      </c>
      <c r="B120" s="40" t="s">
        <v>382</v>
      </c>
      <c r="C120" t="s">
        <v>384</v>
      </c>
      <c r="D120" t="s">
        <v>213</v>
      </c>
      <c r="E120" s="40" t="s">
        <v>76</v>
      </c>
      <c r="G120" s="44" t="s">
        <v>216</v>
      </c>
    </row>
    <row r="121" spans="1:9" x14ac:dyDescent="0.25">
      <c r="A121" s="40" t="s">
        <v>230</v>
      </c>
      <c r="B121" s="40" t="s">
        <v>382</v>
      </c>
      <c r="C121" t="s">
        <v>385</v>
      </c>
      <c r="D121" t="s">
        <v>213</v>
      </c>
      <c r="E121" s="40" t="s">
        <v>76</v>
      </c>
      <c r="G121" s="44" t="s">
        <v>216</v>
      </c>
    </row>
    <row r="122" spans="1:9" x14ac:dyDescent="0.25">
      <c r="A122" s="40" t="s">
        <v>386</v>
      </c>
      <c r="B122" s="40" t="s">
        <v>387</v>
      </c>
      <c r="C122" t="s">
        <v>388</v>
      </c>
      <c r="D122" t="s">
        <v>213</v>
      </c>
      <c r="E122" s="40" t="s">
        <v>76</v>
      </c>
      <c r="G122" s="44" t="s">
        <v>216</v>
      </c>
    </row>
    <row r="123" spans="1:9" x14ac:dyDescent="0.25">
      <c r="A123" t="s">
        <v>230</v>
      </c>
      <c r="B123" t="s">
        <v>389</v>
      </c>
      <c r="C123" t="s">
        <v>390</v>
      </c>
      <c r="D123" t="s">
        <v>213</v>
      </c>
      <c r="E123" s="40" t="s">
        <v>76</v>
      </c>
      <c r="G123" s="44" t="s">
        <v>219</v>
      </c>
    </row>
    <row r="124" spans="1:9" x14ac:dyDescent="0.25">
      <c r="A124" t="s">
        <v>230</v>
      </c>
      <c r="B124" t="s">
        <v>389</v>
      </c>
      <c r="C124" t="s">
        <v>391</v>
      </c>
      <c r="D124" t="s">
        <v>213</v>
      </c>
      <c r="E124" s="40" t="s">
        <v>76</v>
      </c>
      <c r="G124" s="44" t="s">
        <v>216</v>
      </c>
    </row>
    <row r="125" spans="1:9" x14ac:dyDescent="0.25">
      <c r="A125" t="s">
        <v>210</v>
      </c>
      <c r="B125" t="s">
        <v>161</v>
      </c>
      <c r="C125" t="s">
        <v>392</v>
      </c>
      <c r="E125" s="40" t="s">
        <v>214</v>
      </c>
      <c r="G125" s="44" t="s">
        <v>219</v>
      </c>
    </row>
    <row r="126" spans="1:9" ht="30" customHeight="1" x14ac:dyDescent="0.25">
      <c r="A126" s="33" t="s">
        <v>153</v>
      </c>
      <c r="B126" s="33" t="s">
        <v>393</v>
      </c>
      <c r="C126" s="5" t="s">
        <v>293</v>
      </c>
      <c r="E126" s="40" t="s">
        <v>214</v>
      </c>
      <c r="F126" s="52" t="s">
        <v>237</v>
      </c>
      <c r="G126" s="44" t="s">
        <v>216</v>
      </c>
      <c r="I126" s="55">
        <v>2</v>
      </c>
    </row>
  </sheetData>
  <autoFilter ref="A1:BE126" xr:uid="{00000000-0009-0000-0000-000008000000}"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</autoFilter>
  <mergeCells count="20">
    <mergeCell ref="BB1:BE1"/>
    <mergeCell ref="F1:F3"/>
    <mergeCell ref="R1:U1"/>
    <mergeCell ref="AX1:BA1"/>
    <mergeCell ref="J1:M1"/>
    <mergeCell ref="AP1:AS1"/>
    <mergeCell ref="AH1:AK1"/>
    <mergeCell ref="AL1:AO1"/>
    <mergeCell ref="AT1:AW1"/>
    <mergeCell ref="A1:A3"/>
    <mergeCell ref="H1:H3"/>
    <mergeCell ref="V1:Y1"/>
    <mergeCell ref="E1:E3"/>
    <mergeCell ref="AD1:AG1"/>
    <mergeCell ref="B1:B3"/>
    <mergeCell ref="C1:C3"/>
    <mergeCell ref="N1:Q1"/>
    <mergeCell ref="G1:G3"/>
    <mergeCell ref="Z1:AC1"/>
    <mergeCell ref="I1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Category</vt:lpstr>
      <vt:lpstr>12-1-26</vt:lpstr>
      <vt:lpstr>26-01-26</vt:lpstr>
      <vt:lpstr>09-02-26</vt:lpstr>
      <vt:lpstr>09-03-2026</vt:lpstr>
      <vt:lpstr>13-04-2026</vt:lpstr>
      <vt:lpstr>Release 4.0.0</vt:lpstr>
      <vt:lpstr>11-06-2026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Okky Rizki Rohayat</dc:creator>
  <cp:lastModifiedBy>Okky Rizki Rohayat</cp:lastModifiedBy>
  <dcterms:created xsi:type="dcterms:W3CDTF">2025-02-18T06:40:28Z</dcterms:created>
  <dcterms:modified xsi:type="dcterms:W3CDTF">2026-06-17T09:54:37Z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0x010100FFA58EEC1A90A54FA84D559D402D4D2B</vt:lpwstr>
  </property>
  <property fmtid="{D5CDD505-2E9C-101B-9397-08002B2CF9AE}" pid="3" name="MediaServiceImageTags">
    <vt:lpwstr/>
  </property>
</Properties>
</file>